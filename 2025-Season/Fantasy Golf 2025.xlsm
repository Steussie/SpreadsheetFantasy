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ustomProperty4.bin" ContentType="application/vnd.openxmlformats-officedocument.spreadsheetml.customProperty"/>
  <Override PartName="/xl/drawings/drawing5.xml" ContentType="application/vnd.openxmlformats-officedocument.drawing+xml"/>
  <Override PartName="/xl/customProperty5.bin" ContentType="application/vnd.openxmlformats-officedocument.spreadsheetml.customProperty"/>
  <Override PartName="/xl/drawings/drawing6.xml" ContentType="application/vnd.openxmlformats-officedocument.drawing+xml"/>
  <Override PartName="/xl/customProperty6.bin" ContentType="application/vnd.openxmlformats-officedocument.spreadsheetml.customProperty"/>
  <Override PartName="/xl/drawings/drawing7.xml" ContentType="application/vnd.openxmlformats-officedocument.drawing+xml"/>
  <Override PartName="/xl/customProperty7.bin" ContentType="application/vnd.openxmlformats-officedocument.spreadsheetml.customProperty"/>
  <Override PartName="/xl/drawings/drawing8.xml" ContentType="application/vnd.openxmlformats-officedocument.drawing+xml"/>
  <Override PartName="/xl/customProperty8.bin" ContentType="application/vnd.openxmlformats-officedocument.spreadsheetml.customProperty"/>
  <Override PartName="/xl/drawings/drawing9.xml" ContentType="application/vnd.openxmlformats-officedocument.drawing+xml"/>
  <Override PartName="/xl/customProperty9.bin" ContentType="application/vnd.openxmlformats-officedocument.spreadsheetml.customProperty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Cloud Storage\Dropbox\Spreadsheet Fantasy\2025-Season\"/>
    </mc:Choice>
  </mc:AlternateContent>
  <xr:revisionPtr revIDLastSave="0" documentId="13_ncr:1_{07A127DC-0331-4974-98F8-EB349B1BE859}" xr6:coauthVersionLast="47" xr6:coauthVersionMax="47" xr10:uidLastSave="{00000000-0000-0000-0000-000000000000}"/>
  <bookViews>
    <workbookView xWindow="38280" yWindow="-120" windowWidth="51840" windowHeight="21120" activeTab="2" xr2:uid="{00000000-000D-0000-FFFF-FFFF00000000}"/>
  </bookViews>
  <sheets>
    <sheet name="Charts" sheetId="19" r:id="rId1"/>
    <sheet name="Standings" sheetId="1" r:id="rId2"/>
    <sheet name="Rosters" sheetId="2" r:id="rId3"/>
    <sheet name="Tournament Averages" sheetId="8" r:id="rId4"/>
    <sheet name="Ryder Cup" sheetId="9" r:id="rId5"/>
    <sheet name="Schedule and Scoring" sheetId="3" r:id="rId6"/>
    <sheet name="LPGA Roster" sheetId="23" r:id="rId7"/>
    <sheet name="Transactions" sheetId="4" r:id="rId8"/>
    <sheet name="Draft" sheetId="5" r:id="rId9"/>
    <sheet name="Results" sheetId="18" r:id="rId10"/>
    <sheet name="Chart1" sheetId="25" r:id="rId11"/>
    <sheet name="Sheet1" sheetId="24" r:id="rId12"/>
  </sheets>
  <definedNames>
    <definedName name="_xlnm._FilterDatabase" localSheetId="9" hidden="1">Results!$A$1:$A$249</definedName>
    <definedName name="BubbaWatson" localSheetId="9">Results!$B$2</definedName>
    <definedName name="BubbaWatson">#REF!</definedName>
    <definedName name="leaderboard?tournamentId_2523" localSheetId="9">Results!$A$1:$J$526</definedName>
    <definedName name="PatrickReed" localSheetId="9">Results!#REF!</definedName>
    <definedName name="PatrickReed">#REF!</definedName>
    <definedName name="RoryMcIlroy" localSheetId="9">Results!#REF!</definedName>
    <definedName name="RoryMcIlroy">#REF!</definedName>
    <definedName name="TIER1" localSheetId="9">Results!$T$2</definedName>
    <definedName name="TIER1">#REF!</definedName>
  </definedNames>
  <calcPr calcId="191029"/>
  <fileRecoveryPr autoRecover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91" i="2" l="1"/>
  <c r="AV190" i="2" s="1"/>
  <c r="AU191" i="2"/>
  <c r="AU190" i="2" s="1"/>
  <c r="AT191" i="2"/>
  <c r="AT190" i="2" s="1"/>
  <c r="AS191" i="2"/>
  <c r="AS190" i="2" s="1"/>
  <c r="AV172" i="2"/>
  <c r="AV171" i="2" s="1"/>
  <c r="AU172" i="2"/>
  <c r="AU171" i="2" s="1"/>
  <c r="AT172" i="2"/>
  <c r="AT171" i="2" s="1"/>
  <c r="AS172" i="2"/>
  <c r="AS171" i="2" s="1"/>
  <c r="AV153" i="2"/>
  <c r="AV152" i="2" s="1"/>
  <c r="AU153" i="2"/>
  <c r="AU152" i="2" s="1"/>
  <c r="AT153" i="2"/>
  <c r="AT152" i="2" s="1"/>
  <c r="AS153" i="2"/>
  <c r="AS152" i="2" s="1"/>
  <c r="AV134" i="2"/>
  <c r="AV133" i="2" s="1"/>
  <c r="AU134" i="2"/>
  <c r="AU133" i="2" s="1"/>
  <c r="AT134" i="2"/>
  <c r="AT133" i="2" s="1"/>
  <c r="AS134" i="2"/>
  <c r="AS133" i="2" s="1"/>
  <c r="AV115" i="2"/>
  <c r="AV114" i="2" s="1"/>
  <c r="AU115" i="2"/>
  <c r="AU114" i="2" s="1"/>
  <c r="AT115" i="2"/>
  <c r="AT114" i="2" s="1"/>
  <c r="AS115" i="2"/>
  <c r="AS114" i="2" s="1"/>
  <c r="AV96" i="2"/>
  <c r="AV95" i="2" s="1"/>
  <c r="AU96" i="2"/>
  <c r="AU95" i="2" s="1"/>
  <c r="AT96" i="2"/>
  <c r="AT95" i="2" s="1"/>
  <c r="AS96" i="2"/>
  <c r="AS95" i="2" s="1"/>
  <c r="AV77" i="2"/>
  <c r="AV76" i="2" s="1"/>
  <c r="AU77" i="2"/>
  <c r="AU76" i="2" s="1"/>
  <c r="AT77" i="2"/>
  <c r="AT76" i="2" s="1"/>
  <c r="AS77" i="2"/>
  <c r="AS76" i="2" s="1"/>
  <c r="AV58" i="2"/>
  <c r="AV57" i="2" s="1"/>
  <c r="AU58" i="2"/>
  <c r="AU57" i="2" s="1"/>
  <c r="AT58" i="2"/>
  <c r="AT57" i="2" s="1"/>
  <c r="AS58" i="2"/>
  <c r="AS57" i="2" s="1"/>
  <c r="AV39" i="2"/>
  <c r="AV38" i="2" s="1"/>
  <c r="AU39" i="2"/>
  <c r="AU38" i="2" s="1"/>
  <c r="AT39" i="2"/>
  <c r="AT38" i="2" s="1"/>
  <c r="AS39" i="2"/>
  <c r="AS38" i="2" s="1"/>
  <c r="AV20" i="2"/>
  <c r="AU20" i="2"/>
  <c r="AU19" i="2" s="1"/>
  <c r="AT20" i="2"/>
  <c r="AS20" i="2"/>
  <c r="AS19" i="2" s="1"/>
  <c r="M22" i="18"/>
  <c r="N22" i="18"/>
  <c r="O22" i="18"/>
  <c r="P22" i="18"/>
  <c r="Q22" i="18"/>
  <c r="R22" i="18"/>
  <c r="M23" i="18"/>
  <c r="N23" i="18"/>
  <c r="O23" i="18"/>
  <c r="P23" i="18"/>
  <c r="Q23" i="18"/>
  <c r="R23" i="18"/>
  <c r="M24" i="18"/>
  <c r="N24" i="18"/>
  <c r="O24" i="18"/>
  <c r="P24" i="18"/>
  <c r="Q24" i="18"/>
  <c r="M31" i="18"/>
  <c r="N31" i="18"/>
  <c r="O31" i="18"/>
  <c r="P31" i="18"/>
  <c r="Q31" i="18"/>
  <c r="R31" i="18"/>
  <c r="M32" i="18"/>
  <c r="N32" i="18"/>
  <c r="O32" i="18"/>
  <c r="P32" i="18"/>
  <c r="Q32" i="18"/>
  <c r="R32" i="18"/>
  <c r="M33" i="18"/>
  <c r="N33" i="18"/>
  <c r="O33" i="18"/>
  <c r="P33" i="18"/>
  <c r="Q33" i="18"/>
  <c r="R33" i="18"/>
  <c r="M45" i="18"/>
  <c r="N45" i="18"/>
  <c r="O45" i="18"/>
  <c r="P45" i="18"/>
  <c r="Q45" i="18"/>
  <c r="R45" i="18"/>
  <c r="M46" i="18"/>
  <c r="N46" i="18"/>
  <c r="O46" i="18"/>
  <c r="P46" i="18"/>
  <c r="Q46" i="18"/>
  <c r="R46" i="18"/>
  <c r="M47" i="18"/>
  <c r="N47" i="18"/>
  <c r="O47" i="18"/>
  <c r="P47" i="18"/>
  <c r="Q47" i="18"/>
  <c r="R47" i="18"/>
  <c r="M57" i="18"/>
  <c r="N57" i="18"/>
  <c r="O57" i="18"/>
  <c r="P57" i="18"/>
  <c r="Q57" i="18"/>
  <c r="R57" i="18"/>
  <c r="M58" i="18"/>
  <c r="N58" i="18"/>
  <c r="O58" i="18"/>
  <c r="P58" i="18"/>
  <c r="Q58" i="18"/>
  <c r="R58" i="18"/>
  <c r="M59" i="18"/>
  <c r="N59" i="18"/>
  <c r="O59" i="18"/>
  <c r="P59" i="18"/>
  <c r="Q59" i="18"/>
  <c r="R59" i="18"/>
  <c r="M71" i="18"/>
  <c r="N71" i="18"/>
  <c r="O71" i="18"/>
  <c r="P71" i="18"/>
  <c r="Q71" i="18"/>
  <c r="R71" i="18"/>
  <c r="M72" i="18"/>
  <c r="N72" i="18"/>
  <c r="O72" i="18"/>
  <c r="P72" i="18"/>
  <c r="Q72" i="18"/>
  <c r="R72" i="18"/>
  <c r="M73" i="18"/>
  <c r="N73" i="18"/>
  <c r="O73" i="18"/>
  <c r="P73" i="18"/>
  <c r="Q73" i="18"/>
  <c r="M86" i="18"/>
  <c r="N86" i="18"/>
  <c r="O86" i="18"/>
  <c r="P86" i="18"/>
  <c r="Q86" i="18"/>
  <c r="M87" i="18"/>
  <c r="N87" i="18"/>
  <c r="O87" i="18"/>
  <c r="P87" i="18"/>
  <c r="Q87" i="18"/>
  <c r="M88" i="18"/>
  <c r="N88" i="18"/>
  <c r="O88" i="18"/>
  <c r="P88" i="18"/>
  <c r="Q88" i="18"/>
  <c r="M101" i="18"/>
  <c r="N101" i="18"/>
  <c r="O101" i="18"/>
  <c r="P101" i="18"/>
  <c r="Q101" i="18"/>
  <c r="M102" i="18"/>
  <c r="N102" i="18"/>
  <c r="O102" i="18"/>
  <c r="P102" i="18"/>
  <c r="Q102" i="18"/>
  <c r="M103" i="18"/>
  <c r="N103" i="18"/>
  <c r="O103" i="18"/>
  <c r="P103" i="18"/>
  <c r="Q103" i="18"/>
  <c r="R103" i="18"/>
  <c r="M114" i="18"/>
  <c r="N114" i="18"/>
  <c r="O114" i="18"/>
  <c r="P114" i="18"/>
  <c r="Q114" i="18"/>
  <c r="M115" i="18"/>
  <c r="N115" i="18"/>
  <c r="O115" i="18"/>
  <c r="P115" i="18"/>
  <c r="Q115" i="18"/>
  <c r="R115" i="18"/>
  <c r="M116" i="18"/>
  <c r="N116" i="18"/>
  <c r="O116" i="18"/>
  <c r="P116" i="18"/>
  <c r="Q116" i="18"/>
  <c r="R116" i="18"/>
  <c r="M126" i="18"/>
  <c r="N126" i="18"/>
  <c r="O126" i="18"/>
  <c r="P126" i="18"/>
  <c r="Q126" i="18"/>
  <c r="M127" i="18"/>
  <c r="N127" i="18"/>
  <c r="O127" i="18"/>
  <c r="P127" i="18"/>
  <c r="Q127" i="18"/>
  <c r="M128" i="18"/>
  <c r="N128" i="18"/>
  <c r="O128" i="18"/>
  <c r="P128" i="18"/>
  <c r="Q128" i="18"/>
  <c r="R128" i="18"/>
  <c r="AV19" i="2"/>
  <c r="AT19" i="2"/>
  <c r="AM63" i="2" l="1"/>
  <c r="AN63" i="2"/>
  <c r="AO63" i="2"/>
  <c r="AO187" i="2"/>
  <c r="J11" i="1"/>
  <c r="J9" i="1"/>
  <c r="J13" i="1"/>
  <c r="J10" i="1"/>
  <c r="J12" i="1"/>
  <c r="J7" i="1"/>
  <c r="J5" i="1"/>
  <c r="J8" i="1"/>
  <c r="J4" i="1"/>
  <c r="J6" i="1"/>
  <c r="H11" i="1"/>
  <c r="H9" i="1"/>
  <c r="H13" i="1"/>
  <c r="H10" i="1"/>
  <c r="H12" i="1"/>
  <c r="H7" i="1"/>
  <c r="H5" i="1"/>
  <c r="H8" i="1"/>
  <c r="H4" i="1"/>
  <c r="H6" i="1"/>
  <c r="AO111" i="2"/>
  <c r="U153" i="18"/>
  <c r="T153" i="18"/>
  <c r="U152" i="18"/>
  <c r="T152" i="18"/>
  <c r="R18" i="18"/>
  <c r="Q18" i="18"/>
  <c r="P18" i="18"/>
  <c r="O18" i="18"/>
  <c r="N18" i="18"/>
  <c r="M18" i="18"/>
  <c r="R17" i="18"/>
  <c r="Q17" i="18"/>
  <c r="P17" i="18"/>
  <c r="O17" i="18"/>
  <c r="N17" i="18"/>
  <c r="M17" i="18"/>
  <c r="AO35" i="2"/>
  <c r="AN35" i="2"/>
  <c r="AM35" i="2"/>
  <c r="AO73" i="2"/>
  <c r="AN73" i="2"/>
  <c r="AM73" i="2"/>
  <c r="AO168" i="2"/>
  <c r="AN168" i="2"/>
  <c r="AM168" i="2"/>
  <c r="AO92" i="2"/>
  <c r="AN92" i="2"/>
  <c r="AM92" i="2"/>
  <c r="AO149" i="2"/>
  <c r="AN149" i="2"/>
  <c r="AM149" i="2"/>
  <c r="AO16" i="2"/>
  <c r="AN16" i="2"/>
  <c r="AM16" i="2"/>
  <c r="AO54" i="2"/>
  <c r="AN54" i="2"/>
  <c r="AM54" i="2"/>
  <c r="AM55" i="2"/>
  <c r="AN55" i="2"/>
  <c r="AO55" i="2"/>
  <c r="M7" i="18"/>
  <c r="N7" i="18"/>
  <c r="O7" i="18"/>
  <c r="P7" i="18"/>
  <c r="Q7" i="18"/>
  <c r="Q364" i="18"/>
  <c r="P364" i="18"/>
  <c r="O364" i="18"/>
  <c r="N364" i="18"/>
  <c r="M364" i="18"/>
  <c r="Q363" i="18"/>
  <c r="P363" i="18"/>
  <c r="O363" i="18"/>
  <c r="N363" i="18"/>
  <c r="M363" i="18"/>
  <c r="Q362" i="18"/>
  <c r="P362" i="18"/>
  <c r="O362" i="18"/>
  <c r="N362" i="18"/>
  <c r="M362" i="18"/>
  <c r="Q361" i="18"/>
  <c r="P361" i="18"/>
  <c r="O361" i="18"/>
  <c r="N361" i="18"/>
  <c r="M361" i="18"/>
  <c r="Q360" i="18"/>
  <c r="P360" i="18"/>
  <c r="O360" i="18"/>
  <c r="N360" i="18"/>
  <c r="M360" i="18"/>
  <c r="Q359" i="18"/>
  <c r="P359" i="18"/>
  <c r="O359" i="18"/>
  <c r="N359" i="18"/>
  <c r="M359" i="18"/>
  <c r="Q358" i="18"/>
  <c r="P358" i="18"/>
  <c r="O358" i="18"/>
  <c r="N358" i="18"/>
  <c r="M358" i="18"/>
  <c r="Q357" i="18"/>
  <c r="P357" i="18"/>
  <c r="O357" i="18"/>
  <c r="N357" i="18"/>
  <c r="M357" i="18"/>
  <c r="Q356" i="18"/>
  <c r="P356" i="18"/>
  <c r="O356" i="18"/>
  <c r="N356" i="18"/>
  <c r="M356" i="18"/>
  <c r="Q355" i="18"/>
  <c r="P355" i="18"/>
  <c r="O355" i="18"/>
  <c r="N355" i="18"/>
  <c r="M355" i="18"/>
  <c r="Q354" i="18"/>
  <c r="P354" i="18"/>
  <c r="O354" i="18"/>
  <c r="N354" i="18"/>
  <c r="M354" i="18"/>
  <c r="Q353" i="18"/>
  <c r="P353" i="18"/>
  <c r="O353" i="18"/>
  <c r="N353" i="18"/>
  <c r="M353" i="18"/>
  <c r="Q352" i="18"/>
  <c r="P352" i="18"/>
  <c r="O352" i="18"/>
  <c r="N352" i="18"/>
  <c r="M352" i="18"/>
  <c r="Q351" i="18"/>
  <c r="P351" i="18"/>
  <c r="O351" i="18"/>
  <c r="N351" i="18"/>
  <c r="M351" i="18"/>
  <c r="Q350" i="18"/>
  <c r="P350" i="18"/>
  <c r="O350" i="18"/>
  <c r="N350" i="18"/>
  <c r="M350" i="18"/>
  <c r="Q349" i="18"/>
  <c r="P349" i="18"/>
  <c r="O349" i="18"/>
  <c r="N349" i="18"/>
  <c r="M349" i="18"/>
  <c r="Q348" i="18"/>
  <c r="P348" i="18"/>
  <c r="O348" i="18"/>
  <c r="N348" i="18"/>
  <c r="M348" i="18"/>
  <c r="Q347" i="18"/>
  <c r="P347" i="18"/>
  <c r="O347" i="18"/>
  <c r="N347" i="18"/>
  <c r="M347" i="18"/>
  <c r="Q346" i="18"/>
  <c r="P346" i="18"/>
  <c r="O346" i="18"/>
  <c r="N346" i="18"/>
  <c r="M346" i="18"/>
  <c r="Q345" i="18"/>
  <c r="P345" i="18"/>
  <c r="O345" i="18"/>
  <c r="N345" i="18"/>
  <c r="M345" i="18"/>
  <c r="Q344" i="18"/>
  <c r="P344" i="18"/>
  <c r="O344" i="18"/>
  <c r="N344" i="18"/>
  <c r="M344" i="18"/>
  <c r="Q343" i="18"/>
  <c r="P343" i="18"/>
  <c r="O343" i="18"/>
  <c r="N343" i="18"/>
  <c r="M343" i="18"/>
  <c r="Q342" i="18"/>
  <c r="P342" i="18"/>
  <c r="O342" i="18"/>
  <c r="N342" i="18"/>
  <c r="M342" i="18"/>
  <c r="Q341" i="18"/>
  <c r="P341" i="18"/>
  <c r="O341" i="18"/>
  <c r="N341" i="18"/>
  <c r="M341" i="18"/>
  <c r="Q340" i="18"/>
  <c r="P340" i="18"/>
  <c r="O340" i="18"/>
  <c r="N340" i="18"/>
  <c r="M340" i="18"/>
  <c r="Q339" i="18"/>
  <c r="P339" i="18"/>
  <c r="O339" i="18"/>
  <c r="N339" i="18"/>
  <c r="M339" i="18"/>
  <c r="Q338" i="18"/>
  <c r="P338" i="18"/>
  <c r="O338" i="18"/>
  <c r="N338" i="18"/>
  <c r="M338" i="18"/>
  <c r="Q337" i="18"/>
  <c r="P337" i="18"/>
  <c r="O337" i="18"/>
  <c r="N337" i="18"/>
  <c r="M337" i="18"/>
  <c r="Q336" i="18"/>
  <c r="P336" i="18"/>
  <c r="O336" i="18"/>
  <c r="N336" i="18"/>
  <c r="M336" i="18"/>
  <c r="Q335" i="18"/>
  <c r="P335" i="18"/>
  <c r="O335" i="18"/>
  <c r="N335" i="18"/>
  <c r="M335" i="18"/>
  <c r="Q334" i="18"/>
  <c r="P334" i="18"/>
  <c r="O334" i="18"/>
  <c r="N334" i="18"/>
  <c r="M334" i="18"/>
  <c r="Q333" i="18"/>
  <c r="P333" i="18"/>
  <c r="O333" i="18"/>
  <c r="N333" i="18"/>
  <c r="M333" i="18"/>
  <c r="Q332" i="18"/>
  <c r="P332" i="18"/>
  <c r="O332" i="18"/>
  <c r="N332" i="18"/>
  <c r="M332" i="18"/>
  <c r="Q331" i="18"/>
  <c r="P331" i="18"/>
  <c r="O331" i="18"/>
  <c r="N331" i="18"/>
  <c r="M331" i="18"/>
  <c r="Q330" i="18"/>
  <c r="P330" i="18"/>
  <c r="O330" i="18"/>
  <c r="N330" i="18"/>
  <c r="M330" i="18"/>
  <c r="Q329" i="18"/>
  <c r="P329" i="18"/>
  <c r="O329" i="18"/>
  <c r="N329" i="18"/>
  <c r="M329" i="18"/>
  <c r="Q328" i="18"/>
  <c r="P328" i="18"/>
  <c r="O328" i="18"/>
  <c r="N328" i="18"/>
  <c r="M328" i="18"/>
  <c r="Q327" i="18"/>
  <c r="P327" i="18"/>
  <c r="O327" i="18"/>
  <c r="N327" i="18"/>
  <c r="M327" i="18"/>
  <c r="Q326" i="18"/>
  <c r="P326" i="18"/>
  <c r="O326" i="18"/>
  <c r="N326" i="18"/>
  <c r="M326" i="18"/>
  <c r="Q325" i="18"/>
  <c r="P325" i="18"/>
  <c r="O325" i="18"/>
  <c r="N325" i="18"/>
  <c r="M325" i="18"/>
  <c r="Q324" i="18"/>
  <c r="P324" i="18"/>
  <c r="O324" i="18"/>
  <c r="N324" i="18"/>
  <c r="M324" i="18"/>
  <c r="Q323" i="18"/>
  <c r="P323" i="18"/>
  <c r="O323" i="18"/>
  <c r="N323" i="18"/>
  <c r="M323" i="18"/>
  <c r="Q322" i="18"/>
  <c r="P322" i="18"/>
  <c r="O322" i="18"/>
  <c r="N322" i="18"/>
  <c r="M322" i="18"/>
  <c r="Q321" i="18"/>
  <c r="P321" i="18"/>
  <c r="O321" i="18"/>
  <c r="N321" i="18"/>
  <c r="M321" i="18"/>
  <c r="Q320" i="18"/>
  <c r="P320" i="18"/>
  <c r="O320" i="18"/>
  <c r="N320" i="18"/>
  <c r="M320" i="18"/>
  <c r="Q319" i="18"/>
  <c r="P319" i="18"/>
  <c r="O319" i="18"/>
  <c r="N319" i="18"/>
  <c r="M319" i="18"/>
  <c r="Q318" i="18"/>
  <c r="P318" i="18"/>
  <c r="O318" i="18"/>
  <c r="N318" i="18"/>
  <c r="M318" i="18"/>
  <c r="Q317" i="18"/>
  <c r="P317" i="18"/>
  <c r="O317" i="18"/>
  <c r="N317" i="18"/>
  <c r="M317" i="18"/>
  <c r="Q316" i="18"/>
  <c r="P316" i="18"/>
  <c r="O316" i="18"/>
  <c r="N316" i="18"/>
  <c r="M316" i="18"/>
  <c r="Q315" i="18"/>
  <c r="P315" i="18"/>
  <c r="O315" i="18"/>
  <c r="N315" i="18"/>
  <c r="M315" i="18"/>
  <c r="Q314" i="18"/>
  <c r="P314" i="18"/>
  <c r="O314" i="18"/>
  <c r="N314" i="18"/>
  <c r="M314" i="18"/>
  <c r="Q313" i="18"/>
  <c r="P313" i="18"/>
  <c r="O313" i="18"/>
  <c r="N313" i="18"/>
  <c r="M313" i="18"/>
  <c r="Q312" i="18"/>
  <c r="P312" i="18"/>
  <c r="O312" i="18"/>
  <c r="N312" i="18"/>
  <c r="M312" i="18"/>
  <c r="Q311" i="18"/>
  <c r="P311" i="18"/>
  <c r="O311" i="18"/>
  <c r="N311" i="18"/>
  <c r="M311" i="18"/>
  <c r="Q310" i="18"/>
  <c r="P310" i="18"/>
  <c r="O310" i="18"/>
  <c r="N310" i="18"/>
  <c r="M310" i="18"/>
  <c r="Q309" i="18"/>
  <c r="P309" i="18"/>
  <c r="O309" i="18"/>
  <c r="N309" i="18"/>
  <c r="M309" i="18"/>
  <c r="Q308" i="18"/>
  <c r="P308" i="18"/>
  <c r="O308" i="18"/>
  <c r="N308" i="18"/>
  <c r="M308" i="18"/>
  <c r="Q307" i="18"/>
  <c r="P307" i="18"/>
  <c r="O307" i="18"/>
  <c r="N307" i="18"/>
  <c r="M307" i="18"/>
  <c r="Q306" i="18"/>
  <c r="P306" i="18"/>
  <c r="O306" i="18"/>
  <c r="N306" i="18"/>
  <c r="M306" i="18"/>
  <c r="Q305" i="18"/>
  <c r="P305" i="18"/>
  <c r="O305" i="18"/>
  <c r="N305" i="18"/>
  <c r="M305" i="18"/>
  <c r="Q304" i="18"/>
  <c r="P304" i="18"/>
  <c r="O304" i="18"/>
  <c r="N304" i="18"/>
  <c r="M304" i="18"/>
  <c r="Q303" i="18"/>
  <c r="P303" i="18"/>
  <c r="O303" i="18"/>
  <c r="N303" i="18"/>
  <c r="M303" i="18"/>
  <c r="Q302" i="18"/>
  <c r="P302" i="18"/>
  <c r="O302" i="18"/>
  <c r="N302" i="18"/>
  <c r="M302" i="18"/>
  <c r="Q301" i="18"/>
  <c r="P301" i="18"/>
  <c r="O301" i="18"/>
  <c r="N301" i="18"/>
  <c r="M301" i="18"/>
  <c r="Q300" i="18"/>
  <c r="P300" i="18"/>
  <c r="O300" i="18"/>
  <c r="N300" i="18"/>
  <c r="M300" i="18"/>
  <c r="Q299" i="18"/>
  <c r="P299" i="18"/>
  <c r="O299" i="18"/>
  <c r="N299" i="18"/>
  <c r="M299" i="18"/>
  <c r="Q298" i="18"/>
  <c r="P298" i="18"/>
  <c r="O298" i="18"/>
  <c r="N298" i="18"/>
  <c r="M298" i="18"/>
  <c r="Q297" i="18"/>
  <c r="P297" i="18"/>
  <c r="O297" i="18"/>
  <c r="N297" i="18"/>
  <c r="M297" i="18"/>
  <c r="Q296" i="18"/>
  <c r="P296" i="18"/>
  <c r="O296" i="18"/>
  <c r="N296" i="18"/>
  <c r="M296" i="18"/>
  <c r="Q295" i="18"/>
  <c r="P295" i="18"/>
  <c r="O295" i="18"/>
  <c r="N295" i="18"/>
  <c r="M295" i="18"/>
  <c r="Q294" i="18"/>
  <c r="P294" i="18"/>
  <c r="O294" i="18"/>
  <c r="N294" i="18"/>
  <c r="M294" i="18"/>
  <c r="Q293" i="18"/>
  <c r="P293" i="18"/>
  <c r="O293" i="18"/>
  <c r="N293" i="18"/>
  <c r="M293" i="18"/>
  <c r="Q292" i="18"/>
  <c r="P292" i="18"/>
  <c r="O292" i="18"/>
  <c r="N292" i="18"/>
  <c r="M292" i="18"/>
  <c r="Q291" i="18"/>
  <c r="P291" i="18"/>
  <c r="O291" i="18"/>
  <c r="N291" i="18"/>
  <c r="M291" i="18"/>
  <c r="Q290" i="18"/>
  <c r="P290" i="18"/>
  <c r="O290" i="18"/>
  <c r="N290" i="18"/>
  <c r="M290" i="18"/>
  <c r="Q289" i="18"/>
  <c r="P289" i="18"/>
  <c r="O289" i="18"/>
  <c r="N289" i="18"/>
  <c r="M289" i="18"/>
  <c r="Q288" i="18"/>
  <c r="P288" i="18"/>
  <c r="O288" i="18"/>
  <c r="N288" i="18"/>
  <c r="M288" i="18"/>
  <c r="Q287" i="18"/>
  <c r="P287" i="18"/>
  <c r="O287" i="18"/>
  <c r="N287" i="18"/>
  <c r="M287" i="18"/>
  <c r="Q286" i="18"/>
  <c r="P286" i="18"/>
  <c r="O286" i="18"/>
  <c r="N286" i="18"/>
  <c r="M286" i="18"/>
  <c r="Q285" i="18"/>
  <c r="P285" i="18"/>
  <c r="O285" i="18"/>
  <c r="N285" i="18"/>
  <c r="M285" i="18"/>
  <c r="Q284" i="18"/>
  <c r="P284" i="18"/>
  <c r="O284" i="18"/>
  <c r="N284" i="18"/>
  <c r="M284" i="18"/>
  <c r="Q283" i="18"/>
  <c r="P283" i="18"/>
  <c r="O283" i="18"/>
  <c r="N283" i="18"/>
  <c r="M283" i="18"/>
  <c r="Q282" i="18"/>
  <c r="P282" i="18"/>
  <c r="O282" i="18"/>
  <c r="N282" i="18"/>
  <c r="M282" i="18"/>
  <c r="Q281" i="18"/>
  <c r="P281" i="18"/>
  <c r="O281" i="18"/>
  <c r="N281" i="18"/>
  <c r="M281" i="18"/>
  <c r="Q280" i="18"/>
  <c r="P280" i="18"/>
  <c r="O280" i="18"/>
  <c r="N280" i="18"/>
  <c r="M280" i="18"/>
  <c r="Q279" i="18"/>
  <c r="P279" i="18"/>
  <c r="O279" i="18"/>
  <c r="N279" i="18"/>
  <c r="M279" i="18"/>
  <c r="Q278" i="18"/>
  <c r="P278" i="18"/>
  <c r="O278" i="18"/>
  <c r="N278" i="18"/>
  <c r="M278" i="18"/>
  <c r="Q277" i="18"/>
  <c r="P277" i="18"/>
  <c r="O277" i="18"/>
  <c r="N277" i="18"/>
  <c r="M277" i="18"/>
  <c r="Q276" i="18"/>
  <c r="P276" i="18"/>
  <c r="O276" i="18"/>
  <c r="N276" i="18"/>
  <c r="M276" i="18"/>
  <c r="Q275" i="18"/>
  <c r="P275" i="18"/>
  <c r="O275" i="18"/>
  <c r="N275" i="18"/>
  <c r="M275" i="18"/>
  <c r="Q274" i="18"/>
  <c r="P274" i="18"/>
  <c r="O274" i="18"/>
  <c r="N274" i="18"/>
  <c r="M274" i="18"/>
  <c r="Q273" i="18"/>
  <c r="P273" i="18"/>
  <c r="O273" i="18"/>
  <c r="N273" i="18"/>
  <c r="M273" i="18"/>
  <c r="Q272" i="18"/>
  <c r="P272" i="18"/>
  <c r="O272" i="18"/>
  <c r="N272" i="18"/>
  <c r="M272" i="18"/>
  <c r="Q271" i="18"/>
  <c r="P271" i="18"/>
  <c r="O271" i="18"/>
  <c r="N271" i="18"/>
  <c r="M271" i="18"/>
  <c r="Q270" i="18"/>
  <c r="P270" i="18"/>
  <c r="O270" i="18"/>
  <c r="N270" i="18"/>
  <c r="M270" i="18"/>
  <c r="Q269" i="18"/>
  <c r="P269" i="18"/>
  <c r="O269" i="18"/>
  <c r="N269" i="18"/>
  <c r="M269" i="18"/>
  <c r="Q268" i="18"/>
  <c r="P268" i="18"/>
  <c r="O268" i="18"/>
  <c r="N268" i="18"/>
  <c r="M268" i="18"/>
  <c r="Q267" i="18"/>
  <c r="P267" i="18"/>
  <c r="O267" i="18"/>
  <c r="N267" i="18"/>
  <c r="M267" i="18"/>
  <c r="Q266" i="18"/>
  <c r="P266" i="18"/>
  <c r="O266" i="18"/>
  <c r="N266" i="18"/>
  <c r="M266" i="18"/>
  <c r="Q265" i="18"/>
  <c r="P265" i="18"/>
  <c r="O265" i="18"/>
  <c r="N265" i="18"/>
  <c r="M265" i="18"/>
  <c r="Q264" i="18"/>
  <c r="P264" i="18"/>
  <c r="O264" i="18"/>
  <c r="N264" i="18"/>
  <c r="M264" i="18"/>
  <c r="Q263" i="18"/>
  <c r="P263" i="18"/>
  <c r="O263" i="18"/>
  <c r="N263" i="18"/>
  <c r="M263" i="18"/>
  <c r="Q262" i="18"/>
  <c r="P262" i="18"/>
  <c r="O262" i="18"/>
  <c r="N262" i="18"/>
  <c r="M262" i="18"/>
  <c r="Q261" i="18"/>
  <c r="P261" i="18"/>
  <c r="O261" i="18"/>
  <c r="N261" i="18"/>
  <c r="M261" i="18"/>
  <c r="Q260" i="18"/>
  <c r="P260" i="18"/>
  <c r="O260" i="18"/>
  <c r="N260" i="18"/>
  <c r="M260" i="18"/>
  <c r="Q259" i="18"/>
  <c r="P259" i="18"/>
  <c r="O259" i="18"/>
  <c r="N259" i="18"/>
  <c r="M259" i="18"/>
  <c r="Q258" i="18"/>
  <c r="P258" i="18"/>
  <c r="O258" i="18"/>
  <c r="N258" i="18"/>
  <c r="M258" i="18"/>
  <c r="Q257" i="18"/>
  <c r="P257" i="18"/>
  <c r="O257" i="18"/>
  <c r="N257" i="18"/>
  <c r="M257" i="18"/>
  <c r="Q256" i="18"/>
  <c r="P256" i="18"/>
  <c r="O256" i="18"/>
  <c r="N256" i="18"/>
  <c r="M256" i="18"/>
  <c r="Q255" i="18"/>
  <c r="P255" i="18"/>
  <c r="O255" i="18"/>
  <c r="N255" i="18"/>
  <c r="M255" i="18"/>
  <c r="Q254" i="18"/>
  <c r="P254" i="18"/>
  <c r="O254" i="18"/>
  <c r="N254" i="18"/>
  <c r="M254" i="18"/>
  <c r="Q253" i="18"/>
  <c r="P253" i="18"/>
  <c r="O253" i="18"/>
  <c r="N253" i="18"/>
  <c r="M253" i="18"/>
  <c r="Q252" i="18"/>
  <c r="P252" i="18"/>
  <c r="O252" i="18"/>
  <c r="N252" i="18"/>
  <c r="M252" i="18"/>
  <c r="Q251" i="18"/>
  <c r="P251" i="18"/>
  <c r="O251" i="18"/>
  <c r="N251" i="18"/>
  <c r="M251" i="18"/>
  <c r="Q250" i="18"/>
  <c r="P250" i="18"/>
  <c r="O250" i="18"/>
  <c r="N250" i="18"/>
  <c r="M250" i="18"/>
  <c r="Q249" i="18"/>
  <c r="P249" i="18"/>
  <c r="O249" i="18"/>
  <c r="N249" i="18"/>
  <c r="M249" i="18"/>
  <c r="Q248" i="18"/>
  <c r="P248" i="18"/>
  <c r="O248" i="18"/>
  <c r="N248" i="18"/>
  <c r="M248" i="18"/>
  <c r="Q247" i="18"/>
  <c r="P247" i="18"/>
  <c r="O247" i="18"/>
  <c r="N247" i="18"/>
  <c r="M247" i="18"/>
  <c r="Q246" i="18"/>
  <c r="P246" i="18"/>
  <c r="O246" i="18"/>
  <c r="N246" i="18"/>
  <c r="M246" i="18"/>
  <c r="Q245" i="18"/>
  <c r="P245" i="18"/>
  <c r="O245" i="18"/>
  <c r="N245" i="18"/>
  <c r="M245" i="18"/>
  <c r="Q244" i="18"/>
  <c r="P244" i="18"/>
  <c r="O244" i="18"/>
  <c r="N244" i="18"/>
  <c r="M244" i="18"/>
  <c r="Q243" i="18"/>
  <c r="P243" i="18"/>
  <c r="O243" i="18"/>
  <c r="N243" i="18"/>
  <c r="M243" i="18"/>
  <c r="Q242" i="18"/>
  <c r="P242" i="18"/>
  <c r="O242" i="18"/>
  <c r="N242" i="18"/>
  <c r="M242" i="18"/>
  <c r="Q241" i="18"/>
  <c r="P241" i="18"/>
  <c r="O241" i="18"/>
  <c r="N241" i="18"/>
  <c r="M241" i="18"/>
  <c r="Q240" i="18"/>
  <c r="P240" i="18"/>
  <c r="O240" i="18"/>
  <c r="N240" i="18"/>
  <c r="M240" i="18"/>
  <c r="Q239" i="18"/>
  <c r="P239" i="18"/>
  <c r="O239" i="18"/>
  <c r="N239" i="18"/>
  <c r="M239" i="18"/>
  <c r="Q238" i="18"/>
  <c r="P238" i="18"/>
  <c r="O238" i="18"/>
  <c r="N238" i="18"/>
  <c r="M238" i="18"/>
  <c r="Q237" i="18"/>
  <c r="P237" i="18"/>
  <c r="O237" i="18"/>
  <c r="N237" i="18"/>
  <c r="M237" i="18"/>
  <c r="Q236" i="18"/>
  <c r="P236" i="18"/>
  <c r="O236" i="18"/>
  <c r="N236" i="18"/>
  <c r="M236" i="18"/>
  <c r="Q235" i="18"/>
  <c r="P235" i="18"/>
  <c r="O235" i="18"/>
  <c r="N235" i="18"/>
  <c r="M235" i="18"/>
  <c r="Q234" i="18"/>
  <c r="P234" i="18"/>
  <c r="O234" i="18"/>
  <c r="N234" i="18"/>
  <c r="M234" i="18"/>
  <c r="Q233" i="18"/>
  <c r="P233" i="18"/>
  <c r="O233" i="18"/>
  <c r="N233" i="18"/>
  <c r="M233" i="18"/>
  <c r="Q232" i="18"/>
  <c r="P232" i="18"/>
  <c r="O232" i="18"/>
  <c r="N232" i="18"/>
  <c r="M232" i="18"/>
  <c r="Q231" i="18"/>
  <c r="P231" i="18"/>
  <c r="O231" i="18"/>
  <c r="N231" i="18"/>
  <c r="M231" i="18"/>
  <c r="Q230" i="18"/>
  <c r="P230" i="18"/>
  <c r="O230" i="18"/>
  <c r="N230" i="18"/>
  <c r="M230" i="18"/>
  <c r="Q229" i="18"/>
  <c r="P229" i="18"/>
  <c r="O229" i="18"/>
  <c r="N229" i="18"/>
  <c r="M229" i="18"/>
  <c r="Q228" i="18"/>
  <c r="P228" i="18"/>
  <c r="O228" i="18"/>
  <c r="N228" i="18"/>
  <c r="M228" i="18"/>
  <c r="Q227" i="18"/>
  <c r="P227" i="18"/>
  <c r="O227" i="18"/>
  <c r="N227" i="18"/>
  <c r="M227" i="18"/>
  <c r="Q226" i="18"/>
  <c r="P226" i="18"/>
  <c r="O226" i="18"/>
  <c r="N226" i="18"/>
  <c r="M226" i="18"/>
  <c r="Q225" i="18"/>
  <c r="P225" i="18"/>
  <c r="O225" i="18"/>
  <c r="N225" i="18"/>
  <c r="M225" i="18"/>
  <c r="Q224" i="18"/>
  <c r="P224" i="18"/>
  <c r="O224" i="18"/>
  <c r="N224" i="18"/>
  <c r="M224" i="18"/>
  <c r="Q223" i="18"/>
  <c r="P223" i="18"/>
  <c r="O223" i="18"/>
  <c r="N223" i="18"/>
  <c r="M223" i="18"/>
  <c r="Q222" i="18"/>
  <c r="P222" i="18"/>
  <c r="O222" i="18"/>
  <c r="N222" i="18"/>
  <c r="M222" i="18"/>
  <c r="Q221" i="18"/>
  <c r="P221" i="18"/>
  <c r="O221" i="18"/>
  <c r="N221" i="18"/>
  <c r="M221" i="18"/>
  <c r="Q220" i="18"/>
  <c r="P220" i="18"/>
  <c r="O220" i="18"/>
  <c r="N220" i="18"/>
  <c r="M220" i="18"/>
  <c r="Q219" i="18"/>
  <c r="P219" i="18"/>
  <c r="O219" i="18"/>
  <c r="N219" i="18"/>
  <c r="M219" i="18"/>
  <c r="Q218" i="18"/>
  <c r="P218" i="18"/>
  <c r="O218" i="18"/>
  <c r="N218" i="18"/>
  <c r="M218" i="18"/>
  <c r="Q217" i="18"/>
  <c r="P217" i="18"/>
  <c r="O217" i="18"/>
  <c r="N217" i="18"/>
  <c r="M217" i="18"/>
  <c r="Q216" i="18"/>
  <c r="P216" i="18"/>
  <c r="O216" i="18"/>
  <c r="N216" i="18"/>
  <c r="M216" i="18"/>
  <c r="Q215" i="18"/>
  <c r="P215" i="18"/>
  <c r="O215" i="18"/>
  <c r="N215" i="18"/>
  <c r="M215" i="18"/>
  <c r="Q214" i="18"/>
  <c r="P214" i="18"/>
  <c r="O214" i="18"/>
  <c r="N214" i="18"/>
  <c r="M214" i="18"/>
  <c r="Q213" i="18"/>
  <c r="P213" i="18"/>
  <c r="O213" i="18"/>
  <c r="N213" i="18"/>
  <c r="M213" i="18"/>
  <c r="Q212" i="18"/>
  <c r="P212" i="18"/>
  <c r="O212" i="18"/>
  <c r="N212" i="18"/>
  <c r="M212" i="18"/>
  <c r="Q211" i="18"/>
  <c r="P211" i="18"/>
  <c r="O211" i="18"/>
  <c r="N211" i="18"/>
  <c r="M211" i="18"/>
  <c r="Q210" i="18"/>
  <c r="P210" i="18"/>
  <c r="O210" i="18"/>
  <c r="N210" i="18"/>
  <c r="M210" i="18"/>
  <c r="Q209" i="18"/>
  <c r="P209" i="18"/>
  <c r="O209" i="18"/>
  <c r="N209" i="18"/>
  <c r="M209" i="18"/>
  <c r="Q208" i="18"/>
  <c r="P208" i="18"/>
  <c r="O208" i="18"/>
  <c r="N208" i="18"/>
  <c r="M208" i="18"/>
  <c r="Q207" i="18"/>
  <c r="P207" i="18"/>
  <c r="O207" i="18"/>
  <c r="N207" i="18"/>
  <c r="M207" i="18"/>
  <c r="Q206" i="18"/>
  <c r="P206" i="18"/>
  <c r="O206" i="18"/>
  <c r="N206" i="18"/>
  <c r="M206" i="18"/>
  <c r="Q205" i="18"/>
  <c r="P205" i="18"/>
  <c r="O205" i="18"/>
  <c r="N205" i="18"/>
  <c r="M205" i="18"/>
  <c r="Q204" i="18"/>
  <c r="P204" i="18"/>
  <c r="O204" i="18"/>
  <c r="N204" i="18"/>
  <c r="M204" i="18"/>
  <c r="Q203" i="18"/>
  <c r="P203" i="18"/>
  <c r="O203" i="18"/>
  <c r="N203" i="18"/>
  <c r="M203" i="18"/>
  <c r="Q202" i="18"/>
  <c r="P202" i="18"/>
  <c r="O202" i="18"/>
  <c r="N202" i="18"/>
  <c r="M202" i="18"/>
  <c r="Q201" i="18"/>
  <c r="P201" i="18"/>
  <c r="O201" i="18"/>
  <c r="N201" i="18"/>
  <c r="M201" i="18"/>
  <c r="Q200" i="18"/>
  <c r="P200" i="18"/>
  <c r="O200" i="18"/>
  <c r="N200" i="18"/>
  <c r="M200" i="18"/>
  <c r="Q199" i="18"/>
  <c r="P199" i="18"/>
  <c r="O199" i="18"/>
  <c r="N199" i="18"/>
  <c r="M199" i="18"/>
  <c r="Q198" i="18"/>
  <c r="P198" i="18"/>
  <c r="O198" i="18"/>
  <c r="N198" i="18"/>
  <c r="M198" i="18"/>
  <c r="Q197" i="18"/>
  <c r="P197" i="18"/>
  <c r="O197" i="18"/>
  <c r="N197" i="18"/>
  <c r="M197" i="18"/>
  <c r="Q196" i="18"/>
  <c r="P196" i="18"/>
  <c r="O196" i="18"/>
  <c r="N196" i="18"/>
  <c r="M196" i="18"/>
  <c r="Q195" i="18"/>
  <c r="P195" i="18"/>
  <c r="O195" i="18"/>
  <c r="N195" i="18"/>
  <c r="M195" i="18"/>
  <c r="Q194" i="18"/>
  <c r="P194" i="18"/>
  <c r="O194" i="18"/>
  <c r="N194" i="18"/>
  <c r="M194" i="18"/>
  <c r="Q193" i="18"/>
  <c r="P193" i="18"/>
  <c r="O193" i="18"/>
  <c r="N193" i="18"/>
  <c r="M193" i="18"/>
  <c r="Q192" i="18"/>
  <c r="P192" i="18"/>
  <c r="O192" i="18"/>
  <c r="N192" i="18"/>
  <c r="M192" i="18"/>
  <c r="Q191" i="18"/>
  <c r="P191" i="18"/>
  <c r="O191" i="18"/>
  <c r="N191" i="18"/>
  <c r="M191" i="18"/>
  <c r="Q190" i="18"/>
  <c r="P190" i="18"/>
  <c r="O190" i="18"/>
  <c r="N190" i="18"/>
  <c r="M190" i="18"/>
  <c r="Q189" i="18"/>
  <c r="P189" i="18"/>
  <c r="O189" i="18"/>
  <c r="N189" i="18"/>
  <c r="M189" i="18"/>
  <c r="Q188" i="18"/>
  <c r="P188" i="18"/>
  <c r="O188" i="18"/>
  <c r="N188" i="18"/>
  <c r="M188" i="18"/>
  <c r="Q187" i="18"/>
  <c r="P187" i="18"/>
  <c r="O187" i="18"/>
  <c r="N187" i="18"/>
  <c r="M187" i="18"/>
  <c r="Q186" i="18"/>
  <c r="P186" i="18"/>
  <c r="O186" i="18"/>
  <c r="N186" i="18"/>
  <c r="M186" i="18"/>
  <c r="Q185" i="18"/>
  <c r="P185" i="18"/>
  <c r="O185" i="18"/>
  <c r="N185" i="18"/>
  <c r="M185" i="18"/>
  <c r="Q184" i="18"/>
  <c r="P184" i="18"/>
  <c r="O184" i="18"/>
  <c r="N184" i="18"/>
  <c r="M184" i="18"/>
  <c r="Q183" i="18"/>
  <c r="P183" i="18"/>
  <c r="O183" i="18"/>
  <c r="N183" i="18"/>
  <c r="M183" i="18"/>
  <c r="Q182" i="18"/>
  <c r="P182" i="18"/>
  <c r="O182" i="18"/>
  <c r="N182" i="18"/>
  <c r="M182" i="18"/>
  <c r="Q181" i="18"/>
  <c r="P181" i="18"/>
  <c r="O181" i="18"/>
  <c r="N181" i="18"/>
  <c r="M181" i="18"/>
  <c r="Q180" i="18"/>
  <c r="P180" i="18"/>
  <c r="O180" i="18"/>
  <c r="N180" i="18"/>
  <c r="M180" i="18"/>
  <c r="Q179" i="18"/>
  <c r="P179" i="18"/>
  <c r="O179" i="18"/>
  <c r="N179" i="18"/>
  <c r="M179" i="18"/>
  <c r="Q178" i="18"/>
  <c r="P178" i="18"/>
  <c r="O178" i="18"/>
  <c r="N178" i="18"/>
  <c r="M178" i="18"/>
  <c r="Q177" i="18"/>
  <c r="P177" i="18"/>
  <c r="O177" i="18"/>
  <c r="N177" i="18"/>
  <c r="M177" i="18"/>
  <c r="Q176" i="18"/>
  <c r="P176" i="18"/>
  <c r="O176" i="18"/>
  <c r="N176" i="18"/>
  <c r="M176" i="18"/>
  <c r="Q175" i="18"/>
  <c r="P175" i="18"/>
  <c r="O175" i="18"/>
  <c r="N175" i="18"/>
  <c r="M175" i="18"/>
  <c r="Q174" i="18"/>
  <c r="P174" i="18"/>
  <c r="O174" i="18"/>
  <c r="N174" i="18"/>
  <c r="M174" i="18"/>
  <c r="Q173" i="18"/>
  <c r="P173" i="18"/>
  <c r="O173" i="18"/>
  <c r="N173" i="18"/>
  <c r="M173" i="18"/>
  <c r="Q172" i="18"/>
  <c r="P172" i="18"/>
  <c r="O172" i="18"/>
  <c r="N172" i="18"/>
  <c r="M172" i="18"/>
  <c r="Q171" i="18"/>
  <c r="P171" i="18"/>
  <c r="O171" i="18"/>
  <c r="N171" i="18"/>
  <c r="M171" i="18"/>
  <c r="Q170" i="18"/>
  <c r="P170" i="18"/>
  <c r="O170" i="18"/>
  <c r="N170" i="18"/>
  <c r="M170" i="18"/>
  <c r="Q169" i="18"/>
  <c r="P169" i="18"/>
  <c r="O169" i="18"/>
  <c r="N169" i="18"/>
  <c r="M169" i="18"/>
  <c r="Q168" i="18"/>
  <c r="P168" i="18"/>
  <c r="O168" i="18"/>
  <c r="N168" i="18"/>
  <c r="M168" i="18"/>
  <c r="Q167" i="18"/>
  <c r="P167" i="18"/>
  <c r="O167" i="18"/>
  <c r="N167" i="18"/>
  <c r="M167" i="18"/>
  <c r="Q166" i="18"/>
  <c r="P166" i="18"/>
  <c r="O166" i="18"/>
  <c r="N166" i="18"/>
  <c r="M166" i="18"/>
  <c r="Q165" i="18"/>
  <c r="P165" i="18"/>
  <c r="O165" i="18"/>
  <c r="N165" i="18"/>
  <c r="M165" i="18"/>
  <c r="Q164" i="18"/>
  <c r="P164" i="18"/>
  <c r="O164" i="18"/>
  <c r="N164" i="18"/>
  <c r="M164" i="18"/>
  <c r="Q163" i="18"/>
  <c r="P163" i="18"/>
  <c r="O163" i="18"/>
  <c r="N163" i="18"/>
  <c r="M163" i="18"/>
  <c r="Q162" i="18"/>
  <c r="P162" i="18"/>
  <c r="O162" i="18"/>
  <c r="N162" i="18"/>
  <c r="M162" i="18"/>
  <c r="Q161" i="18"/>
  <c r="P161" i="18"/>
  <c r="O161" i="18"/>
  <c r="N161" i="18"/>
  <c r="M161" i="18"/>
  <c r="Q160" i="18"/>
  <c r="P160" i="18"/>
  <c r="O160" i="18"/>
  <c r="N160" i="18"/>
  <c r="M160" i="18"/>
  <c r="Q159" i="18"/>
  <c r="P159" i="18"/>
  <c r="O159" i="18"/>
  <c r="N159" i="18"/>
  <c r="M159" i="18"/>
  <c r="Q158" i="18"/>
  <c r="P158" i="18"/>
  <c r="O158" i="18"/>
  <c r="N158" i="18"/>
  <c r="M158" i="18"/>
  <c r="Q157" i="18"/>
  <c r="P157" i="18"/>
  <c r="O157" i="18"/>
  <c r="N157" i="18"/>
  <c r="M157" i="18"/>
  <c r="Q156" i="18"/>
  <c r="P156" i="18"/>
  <c r="O156" i="18"/>
  <c r="N156" i="18"/>
  <c r="M156" i="18"/>
  <c r="Q155" i="18"/>
  <c r="P155" i="18"/>
  <c r="O155" i="18"/>
  <c r="N155" i="18"/>
  <c r="M155" i="18"/>
  <c r="Q154" i="18"/>
  <c r="P154" i="18"/>
  <c r="O154" i="18"/>
  <c r="N154" i="18"/>
  <c r="M154" i="18"/>
  <c r="Q153" i="18"/>
  <c r="P153" i="18"/>
  <c r="O153" i="18"/>
  <c r="N153" i="18"/>
  <c r="M153" i="18"/>
  <c r="Q152" i="18"/>
  <c r="P152" i="18"/>
  <c r="O152" i="18"/>
  <c r="N152" i="18"/>
  <c r="M152" i="18"/>
  <c r="Q151" i="18"/>
  <c r="P151" i="18"/>
  <c r="O151" i="18"/>
  <c r="N151" i="18"/>
  <c r="M151" i="18"/>
  <c r="Q150" i="18"/>
  <c r="P150" i="18"/>
  <c r="O150" i="18"/>
  <c r="N150" i="18"/>
  <c r="M150" i="18"/>
  <c r="Q149" i="18"/>
  <c r="P149" i="18"/>
  <c r="O149" i="18"/>
  <c r="N149" i="18"/>
  <c r="M149" i="18"/>
  <c r="Q148" i="18"/>
  <c r="P148" i="18"/>
  <c r="O148" i="18"/>
  <c r="N148" i="18"/>
  <c r="M148" i="18"/>
  <c r="Q147" i="18"/>
  <c r="P147" i="18"/>
  <c r="O147" i="18"/>
  <c r="N147" i="18"/>
  <c r="M147" i="18"/>
  <c r="Q146" i="18"/>
  <c r="P146" i="18"/>
  <c r="O146" i="18"/>
  <c r="N146" i="18"/>
  <c r="M146" i="18"/>
  <c r="Q145" i="18"/>
  <c r="P145" i="18"/>
  <c r="O145" i="18"/>
  <c r="N145" i="18"/>
  <c r="M145" i="18"/>
  <c r="Q144" i="18"/>
  <c r="P144" i="18"/>
  <c r="O144" i="18"/>
  <c r="N144" i="18"/>
  <c r="M144" i="18"/>
  <c r="Q143" i="18"/>
  <c r="P143" i="18"/>
  <c r="O143" i="18"/>
  <c r="N143" i="18"/>
  <c r="M143" i="18"/>
  <c r="Q142" i="18"/>
  <c r="P142" i="18"/>
  <c r="O142" i="18"/>
  <c r="N142" i="18"/>
  <c r="M142" i="18"/>
  <c r="Q141" i="18"/>
  <c r="P141" i="18"/>
  <c r="O141" i="18"/>
  <c r="N141" i="18"/>
  <c r="M141" i="18"/>
  <c r="Q140" i="18"/>
  <c r="P140" i="18"/>
  <c r="O140" i="18"/>
  <c r="N140" i="18"/>
  <c r="M140" i="18"/>
  <c r="Q139" i="18"/>
  <c r="P139" i="18"/>
  <c r="O139" i="18"/>
  <c r="N139" i="18"/>
  <c r="M139" i="18"/>
  <c r="Q138" i="18"/>
  <c r="P138" i="18"/>
  <c r="O138" i="18"/>
  <c r="N138" i="18"/>
  <c r="M138" i="18"/>
  <c r="Q137" i="18"/>
  <c r="P137" i="18"/>
  <c r="O137" i="18"/>
  <c r="N137" i="18"/>
  <c r="M137" i="18"/>
  <c r="Q136" i="18"/>
  <c r="P136" i="18"/>
  <c r="O136" i="18"/>
  <c r="N136" i="18"/>
  <c r="M136" i="18"/>
  <c r="Q135" i="18"/>
  <c r="P135" i="18"/>
  <c r="O135" i="18"/>
  <c r="N135" i="18"/>
  <c r="M135" i="18"/>
  <c r="Q134" i="18"/>
  <c r="P134" i="18"/>
  <c r="O134" i="18"/>
  <c r="N134" i="18"/>
  <c r="M134" i="18"/>
  <c r="Q133" i="18"/>
  <c r="P133" i="18"/>
  <c r="O133" i="18"/>
  <c r="N133" i="18"/>
  <c r="M133" i="18"/>
  <c r="Q132" i="18"/>
  <c r="P132" i="18"/>
  <c r="O132" i="18"/>
  <c r="N132" i="18"/>
  <c r="M132" i="18"/>
  <c r="Q131" i="18"/>
  <c r="P131" i="18"/>
  <c r="O131" i="18"/>
  <c r="N131" i="18"/>
  <c r="M131" i="18"/>
  <c r="Q130" i="18"/>
  <c r="P130" i="18"/>
  <c r="O130" i="18"/>
  <c r="N130" i="18"/>
  <c r="M130" i="18"/>
  <c r="Q129" i="18"/>
  <c r="P129" i="18"/>
  <c r="O129" i="18"/>
  <c r="N129" i="18"/>
  <c r="M129" i="18"/>
  <c r="Q125" i="18"/>
  <c r="P125" i="18"/>
  <c r="O125" i="18"/>
  <c r="N125" i="18"/>
  <c r="M125" i="18"/>
  <c r="Q124" i="18"/>
  <c r="P124" i="18"/>
  <c r="O124" i="18"/>
  <c r="N124" i="18"/>
  <c r="M124" i="18"/>
  <c r="Q123" i="18"/>
  <c r="P123" i="18"/>
  <c r="O123" i="18"/>
  <c r="N123" i="18"/>
  <c r="M123" i="18"/>
  <c r="Q122" i="18"/>
  <c r="P122" i="18"/>
  <c r="O122" i="18"/>
  <c r="N122" i="18"/>
  <c r="M122" i="18"/>
  <c r="Q121" i="18"/>
  <c r="P121" i="18"/>
  <c r="O121" i="18"/>
  <c r="N121" i="18"/>
  <c r="M121" i="18"/>
  <c r="Q120" i="18"/>
  <c r="P120" i="18"/>
  <c r="O120" i="18"/>
  <c r="N120" i="18"/>
  <c r="M120" i="18"/>
  <c r="Q119" i="18"/>
  <c r="P119" i="18"/>
  <c r="O119" i="18"/>
  <c r="N119" i="18"/>
  <c r="M119" i="18"/>
  <c r="Q118" i="18"/>
  <c r="P118" i="18"/>
  <c r="O118" i="18"/>
  <c r="N118" i="18"/>
  <c r="M118" i="18"/>
  <c r="Q117" i="18"/>
  <c r="P117" i="18"/>
  <c r="O117" i="18"/>
  <c r="N117" i="18"/>
  <c r="M117" i="18"/>
  <c r="Q113" i="18"/>
  <c r="P113" i="18"/>
  <c r="O113" i="18"/>
  <c r="N113" i="18"/>
  <c r="M113" i="18"/>
  <c r="Q112" i="18"/>
  <c r="P112" i="18"/>
  <c r="O112" i="18"/>
  <c r="N112" i="18"/>
  <c r="M112" i="18"/>
  <c r="Q111" i="18"/>
  <c r="P111" i="18"/>
  <c r="O111" i="18"/>
  <c r="N111" i="18"/>
  <c r="M111" i="18"/>
  <c r="Q110" i="18"/>
  <c r="P110" i="18"/>
  <c r="O110" i="18"/>
  <c r="N110" i="18"/>
  <c r="M110" i="18"/>
  <c r="Q109" i="18"/>
  <c r="P109" i="18"/>
  <c r="O109" i="18"/>
  <c r="N109" i="18"/>
  <c r="M109" i="18"/>
  <c r="Q108" i="18"/>
  <c r="P108" i="18"/>
  <c r="O108" i="18"/>
  <c r="N108" i="18"/>
  <c r="M108" i="18"/>
  <c r="Q107" i="18"/>
  <c r="P107" i="18"/>
  <c r="O107" i="18"/>
  <c r="N107" i="18"/>
  <c r="M107" i="18"/>
  <c r="Q106" i="18"/>
  <c r="P106" i="18"/>
  <c r="O106" i="18"/>
  <c r="N106" i="18"/>
  <c r="M106" i="18"/>
  <c r="Q105" i="18"/>
  <c r="P105" i="18"/>
  <c r="O105" i="18"/>
  <c r="N105" i="18"/>
  <c r="M105" i="18"/>
  <c r="Q104" i="18"/>
  <c r="P104" i="18"/>
  <c r="O104" i="18"/>
  <c r="N104" i="18"/>
  <c r="M104" i="18"/>
  <c r="Q100" i="18"/>
  <c r="P100" i="18"/>
  <c r="O100" i="18"/>
  <c r="N100" i="18"/>
  <c r="M100" i="18"/>
  <c r="Q99" i="18"/>
  <c r="P99" i="18"/>
  <c r="O99" i="18"/>
  <c r="N99" i="18"/>
  <c r="M99" i="18"/>
  <c r="Q98" i="18"/>
  <c r="P98" i="18"/>
  <c r="O98" i="18"/>
  <c r="N98" i="18"/>
  <c r="M98" i="18"/>
  <c r="Q97" i="18"/>
  <c r="P97" i="18"/>
  <c r="O97" i="18"/>
  <c r="N97" i="18"/>
  <c r="M97" i="18"/>
  <c r="Q96" i="18"/>
  <c r="P96" i="18"/>
  <c r="O96" i="18"/>
  <c r="N96" i="18"/>
  <c r="M96" i="18"/>
  <c r="Q95" i="18"/>
  <c r="P95" i="18"/>
  <c r="O95" i="18"/>
  <c r="N95" i="18"/>
  <c r="M95" i="18"/>
  <c r="Q94" i="18"/>
  <c r="P94" i="18"/>
  <c r="O94" i="18"/>
  <c r="N94" i="18"/>
  <c r="M94" i="18"/>
  <c r="Q93" i="18"/>
  <c r="P93" i="18"/>
  <c r="O93" i="18"/>
  <c r="N93" i="18"/>
  <c r="M93" i="18"/>
  <c r="Q92" i="18"/>
  <c r="P92" i="18"/>
  <c r="O92" i="18"/>
  <c r="N92" i="18"/>
  <c r="M92" i="18"/>
  <c r="Q91" i="18"/>
  <c r="P91" i="18"/>
  <c r="O91" i="18"/>
  <c r="N91" i="18"/>
  <c r="M91" i="18"/>
  <c r="Q90" i="18"/>
  <c r="P90" i="18"/>
  <c r="O90" i="18"/>
  <c r="N90" i="18"/>
  <c r="M90" i="18"/>
  <c r="Q89" i="18"/>
  <c r="P89" i="18"/>
  <c r="O89" i="18"/>
  <c r="N89" i="18"/>
  <c r="M89" i="18"/>
  <c r="Q85" i="18"/>
  <c r="U22" i="18" s="1"/>
  <c r="P85" i="18"/>
  <c r="T22" i="18" s="1"/>
  <c r="O85" i="18"/>
  <c r="N85" i="18"/>
  <c r="M85" i="18"/>
  <c r="Q84" i="18"/>
  <c r="P84" i="18"/>
  <c r="O84" i="18"/>
  <c r="N84" i="18"/>
  <c r="M84" i="18"/>
  <c r="Q83" i="18"/>
  <c r="P83" i="18"/>
  <c r="O83" i="18"/>
  <c r="N83" i="18"/>
  <c r="M83" i="18"/>
  <c r="Q82" i="18"/>
  <c r="P82" i="18"/>
  <c r="O82" i="18"/>
  <c r="N82" i="18"/>
  <c r="M82" i="18"/>
  <c r="Q81" i="18"/>
  <c r="P81" i="18"/>
  <c r="O81" i="18"/>
  <c r="N81" i="18"/>
  <c r="M81" i="18"/>
  <c r="Q80" i="18"/>
  <c r="P80" i="18"/>
  <c r="O80" i="18"/>
  <c r="N80" i="18"/>
  <c r="M80" i="18"/>
  <c r="Q79" i="18"/>
  <c r="P79" i="18"/>
  <c r="O79" i="18"/>
  <c r="N79" i="18"/>
  <c r="M79" i="18"/>
  <c r="Q78" i="18"/>
  <c r="P78" i="18"/>
  <c r="O78" i="18"/>
  <c r="N78" i="18"/>
  <c r="M78" i="18"/>
  <c r="Q77" i="18"/>
  <c r="P77" i="18"/>
  <c r="O77" i="18"/>
  <c r="N77" i="18"/>
  <c r="M77" i="18"/>
  <c r="Q76" i="18"/>
  <c r="P76" i="18"/>
  <c r="O76" i="18"/>
  <c r="N76" i="18"/>
  <c r="M76" i="18"/>
  <c r="Q75" i="18"/>
  <c r="P75" i="18"/>
  <c r="O75" i="18"/>
  <c r="N75" i="18"/>
  <c r="M75" i="18"/>
  <c r="Q74" i="18"/>
  <c r="P74" i="18"/>
  <c r="O74" i="18"/>
  <c r="N74" i="18"/>
  <c r="M74" i="18"/>
  <c r="Q70" i="18"/>
  <c r="P70" i="18"/>
  <c r="O70" i="18"/>
  <c r="N70" i="18"/>
  <c r="M70" i="18"/>
  <c r="Q69" i="18"/>
  <c r="P69" i="18"/>
  <c r="O69" i="18"/>
  <c r="N69" i="18"/>
  <c r="M69" i="18"/>
  <c r="Q68" i="18"/>
  <c r="P68" i="18"/>
  <c r="O68" i="18"/>
  <c r="N68" i="18"/>
  <c r="M68" i="18"/>
  <c r="Q67" i="18"/>
  <c r="P67" i="18"/>
  <c r="O67" i="18"/>
  <c r="N67" i="18"/>
  <c r="M67" i="18"/>
  <c r="Q66" i="18"/>
  <c r="P66" i="18"/>
  <c r="O66" i="18"/>
  <c r="N66" i="18"/>
  <c r="M66" i="18"/>
  <c r="Q65" i="18"/>
  <c r="P65" i="18"/>
  <c r="O65" i="18"/>
  <c r="N65" i="18"/>
  <c r="M65" i="18"/>
  <c r="Q64" i="18"/>
  <c r="P64" i="18"/>
  <c r="O64" i="18"/>
  <c r="N64" i="18"/>
  <c r="M64" i="18"/>
  <c r="Q63" i="18"/>
  <c r="P63" i="18"/>
  <c r="O63" i="18"/>
  <c r="N63" i="18"/>
  <c r="M63" i="18"/>
  <c r="Q62" i="18"/>
  <c r="P62" i="18"/>
  <c r="O62" i="18"/>
  <c r="N62" i="18"/>
  <c r="M62" i="18"/>
  <c r="Q61" i="18"/>
  <c r="P61" i="18"/>
  <c r="O61" i="18"/>
  <c r="N61" i="18"/>
  <c r="M61" i="18"/>
  <c r="Q60" i="18"/>
  <c r="P60" i="18"/>
  <c r="O60" i="18"/>
  <c r="N60" i="18"/>
  <c r="M60" i="18"/>
  <c r="Q56" i="18"/>
  <c r="P56" i="18"/>
  <c r="O56" i="18"/>
  <c r="N56" i="18"/>
  <c r="M56" i="18"/>
  <c r="Q55" i="18"/>
  <c r="P55" i="18"/>
  <c r="O55" i="18"/>
  <c r="N55" i="18"/>
  <c r="M55" i="18"/>
  <c r="Q54" i="18"/>
  <c r="P54" i="18"/>
  <c r="O54" i="18"/>
  <c r="N54" i="18"/>
  <c r="M54" i="18"/>
  <c r="Q53" i="18"/>
  <c r="P53" i="18"/>
  <c r="O53" i="18"/>
  <c r="N53" i="18"/>
  <c r="M53" i="18"/>
  <c r="Q52" i="18"/>
  <c r="P52" i="18"/>
  <c r="O52" i="18"/>
  <c r="N52" i="18"/>
  <c r="M52" i="18"/>
  <c r="Q51" i="18"/>
  <c r="P51" i="18"/>
  <c r="O51" i="18"/>
  <c r="N51" i="18"/>
  <c r="M51" i="18"/>
  <c r="Q50" i="18"/>
  <c r="P50" i="18"/>
  <c r="O50" i="18"/>
  <c r="N50" i="18"/>
  <c r="M50" i="18"/>
  <c r="Q49" i="18"/>
  <c r="P49" i="18"/>
  <c r="O49" i="18"/>
  <c r="N49" i="18"/>
  <c r="M49" i="18"/>
  <c r="Q48" i="18"/>
  <c r="P48" i="18"/>
  <c r="O48" i="18"/>
  <c r="N48" i="18"/>
  <c r="M48" i="18"/>
  <c r="Q44" i="18"/>
  <c r="P44" i="18"/>
  <c r="O44" i="18"/>
  <c r="N44" i="18"/>
  <c r="M44" i="18"/>
  <c r="Q43" i="18"/>
  <c r="P43" i="18"/>
  <c r="O43" i="18"/>
  <c r="N43" i="18"/>
  <c r="M43" i="18"/>
  <c r="Q42" i="18"/>
  <c r="P42" i="18"/>
  <c r="O42" i="18"/>
  <c r="N42" i="18"/>
  <c r="M42" i="18"/>
  <c r="Q41" i="18"/>
  <c r="P41" i="18"/>
  <c r="O41" i="18"/>
  <c r="N41" i="18"/>
  <c r="M41" i="18"/>
  <c r="Q40" i="18"/>
  <c r="P40" i="18"/>
  <c r="O40" i="18"/>
  <c r="N40" i="18"/>
  <c r="M40" i="18"/>
  <c r="Q39" i="18"/>
  <c r="P39" i="18"/>
  <c r="O39" i="18"/>
  <c r="N39" i="18"/>
  <c r="M39" i="18"/>
  <c r="Q38" i="18"/>
  <c r="P38" i="18"/>
  <c r="O38" i="18"/>
  <c r="N38" i="18"/>
  <c r="M38" i="18"/>
  <c r="Q37" i="18"/>
  <c r="P37" i="18"/>
  <c r="O37" i="18"/>
  <c r="N37" i="18"/>
  <c r="M37" i="18"/>
  <c r="Q36" i="18"/>
  <c r="P36" i="18"/>
  <c r="O36" i="18"/>
  <c r="N36" i="18"/>
  <c r="M36" i="18"/>
  <c r="Q35" i="18"/>
  <c r="P35" i="18"/>
  <c r="O35" i="18"/>
  <c r="N35" i="18"/>
  <c r="M35" i="18"/>
  <c r="Q34" i="18"/>
  <c r="P34" i="18"/>
  <c r="O34" i="18"/>
  <c r="N34" i="18"/>
  <c r="M34" i="18"/>
  <c r="Q30" i="18"/>
  <c r="P30" i="18"/>
  <c r="O30" i="18"/>
  <c r="N30" i="18"/>
  <c r="M30" i="18"/>
  <c r="Q29" i="18"/>
  <c r="P29" i="18"/>
  <c r="O29" i="18"/>
  <c r="N29" i="18"/>
  <c r="M29" i="18"/>
  <c r="Q28" i="18"/>
  <c r="P28" i="18"/>
  <c r="O28" i="18"/>
  <c r="N28" i="18"/>
  <c r="M28" i="18"/>
  <c r="Q27" i="18"/>
  <c r="P27" i="18"/>
  <c r="O27" i="18"/>
  <c r="N27" i="18"/>
  <c r="M27" i="18"/>
  <c r="M25" i="18"/>
  <c r="N25" i="18"/>
  <c r="O25" i="18"/>
  <c r="P25" i="18"/>
  <c r="Q25" i="18"/>
  <c r="R25" i="18"/>
  <c r="P26" i="18"/>
  <c r="P21" i="18"/>
  <c r="P20" i="18"/>
  <c r="P19" i="18"/>
  <c r="P16" i="18"/>
  <c r="P15" i="18"/>
  <c r="P14" i="18"/>
  <c r="P13" i="18"/>
  <c r="P12" i="18"/>
  <c r="P11" i="18"/>
  <c r="P9" i="18"/>
  <c r="P8" i="18"/>
  <c r="O26" i="18"/>
  <c r="O21" i="18"/>
  <c r="O20" i="18"/>
  <c r="O19" i="18"/>
  <c r="O16" i="18"/>
  <c r="O15" i="18"/>
  <c r="O14" i="18"/>
  <c r="O13" i="18"/>
  <c r="O12" i="18"/>
  <c r="O11" i="18"/>
  <c r="O9" i="18"/>
  <c r="O8" i="18"/>
  <c r="N26" i="18"/>
  <c r="N21" i="18"/>
  <c r="N20" i="18"/>
  <c r="N19" i="18"/>
  <c r="N16" i="18"/>
  <c r="N15" i="18"/>
  <c r="N14" i="18"/>
  <c r="N13" i="18"/>
  <c r="N12" i="18"/>
  <c r="N11" i="18"/>
  <c r="N9" i="18"/>
  <c r="N8" i="18"/>
  <c r="M26" i="18"/>
  <c r="M21" i="18"/>
  <c r="M20" i="18"/>
  <c r="M19" i="18"/>
  <c r="M16" i="18"/>
  <c r="M15" i="18"/>
  <c r="M14" i="18"/>
  <c r="M13" i="18"/>
  <c r="M12" i="18"/>
  <c r="M11" i="18"/>
  <c r="M9" i="18"/>
  <c r="M8" i="18"/>
  <c r="P10" i="18"/>
  <c r="O10" i="18"/>
  <c r="N10" i="18"/>
  <c r="M10" i="18"/>
  <c r="T23" i="18" l="1"/>
  <c r="U23" i="18"/>
  <c r="T86" i="18"/>
  <c r="T103" i="18"/>
  <c r="T116" i="18"/>
  <c r="T59" i="18"/>
  <c r="T33" i="18"/>
  <c r="U103" i="18"/>
  <c r="T127" i="18"/>
  <c r="T87" i="18"/>
  <c r="U127" i="18"/>
  <c r="U116" i="18"/>
  <c r="T101" i="18"/>
  <c r="T128" i="18"/>
  <c r="T114" i="18"/>
  <c r="U88" i="18"/>
  <c r="U73" i="18"/>
  <c r="T88" i="18"/>
  <c r="T73" i="18"/>
  <c r="T102" i="18"/>
  <c r="T46" i="18"/>
  <c r="T47" i="18"/>
  <c r="T32" i="18"/>
  <c r="T45" i="18"/>
  <c r="T72" i="18"/>
  <c r="T31" i="18"/>
  <c r="T71" i="18"/>
  <c r="T126" i="18"/>
  <c r="U57" i="18"/>
  <c r="U114" i="18"/>
  <c r="T115" i="18"/>
  <c r="T57" i="18"/>
  <c r="T58" i="18"/>
  <c r="T151" i="18"/>
  <c r="T107" i="18"/>
  <c r="T94" i="18"/>
  <c r="AM187" i="2"/>
  <c r="AN187" i="2"/>
  <c r="T150" i="18"/>
  <c r="T122" i="18"/>
  <c r="T108" i="18"/>
  <c r="T26" i="18"/>
  <c r="U151" i="18"/>
  <c r="U108" i="18"/>
  <c r="T120" i="18"/>
  <c r="U149" i="18"/>
  <c r="T119" i="18"/>
  <c r="T106" i="18"/>
  <c r="T29" i="18"/>
  <c r="AM111" i="2"/>
  <c r="AN111" i="2"/>
  <c r="T56" i="18"/>
  <c r="T18" i="18"/>
  <c r="T12" i="18"/>
  <c r="T133" i="18"/>
  <c r="U135" i="18"/>
  <c r="T148" i="18"/>
  <c r="T121" i="18"/>
  <c r="T147" i="18"/>
  <c r="T149" i="18"/>
  <c r="T146" i="18"/>
  <c r="T135" i="18"/>
  <c r="T17" i="18"/>
  <c r="T93" i="18"/>
  <c r="T55" i="18"/>
  <c r="T28" i="18"/>
  <c r="T139" i="18"/>
  <c r="T134" i="18"/>
  <c r="T68" i="18"/>
  <c r="U41" i="18"/>
  <c r="T27" i="18"/>
  <c r="T41" i="18"/>
  <c r="U134" i="18"/>
  <c r="T40" i="18"/>
  <c r="T42" i="18"/>
  <c r="T54" i="18"/>
  <c r="T144" i="18"/>
  <c r="T145" i="18"/>
  <c r="T80" i="18"/>
  <c r="T36" i="18"/>
  <c r="T132" i="18"/>
  <c r="T63" i="18"/>
  <c r="U80" i="18"/>
  <c r="T104" i="18"/>
  <c r="U104" i="18"/>
  <c r="T82" i="18"/>
  <c r="T34" i="18"/>
  <c r="T50" i="18"/>
  <c r="T37" i="18"/>
  <c r="U50" i="18"/>
  <c r="T14" i="18"/>
  <c r="T64" i="18"/>
  <c r="T43" i="18"/>
  <c r="T61" i="18"/>
  <c r="T75" i="18"/>
  <c r="T91" i="18"/>
  <c r="T66" i="18"/>
  <c r="T20" i="18"/>
  <c r="U66" i="18"/>
  <c r="T129" i="18"/>
  <c r="T125" i="18"/>
  <c r="T69" i="18"/>
  <c r="T15" i="18"/>
  <c r="T48" i="18"/>
  <c r="U91" i="18"/>
  <c r="U61" i="18"/>
  <c r="T77" i="18"/>
  <c r="T140" i="18"/>
  <c r="T13" i="18"/>
  <c r="T90" i="18"/>
  <c r="T65" i="18"/>
  <c r="T117" i="18"/>
  <c r="T124" i="18"/>
  <c r="T138" i="18"/>
  <c r="T74" i="18"/>
  <c r="T70" i="18"/>
  <c r="T98" i="18"/>
  <c r="T60" i="18"/>
  <c r="U98" i="18"/>
  <c r="T141" i="18"/>
  <c r="T30" i="18"/>
  <c r="T110" i="18"/>
  <c r="T21" i="18"/>
  <c r="T136" i="18"/>
  <c r="T113" i="18"/>
  <c r="T99" i="18"/>
  <c r="T143" i="18"/>
  <c r="T100" i="18"/>
  <c r="T16" i="18"/>
  <c r="T111" i="18"/>
  <c r="T105" i="18"/>
  <c r="T76" i="18"/>
  <c r="T142" i="18"/>
  <c r="U78" i="18"/>
  <c r="T49" i="18"/>
  <c r="T85" i="18"/>
  <c r="T112" i="18"/>
  <c r="T44" i="18"/>
  <c r="T83" i="18"/>
  <c r="T92" i="18"/>
  <c r="U92" i="18"/>
  <c r="T35" i="18"/>
  <c r="T79" i="18"/>
  <c r="T131" i="18"/>
  <c r="T89" i="18"/>
  <c r="T78" i="18"/>
  <c r="T51" i="18"/>
  <c r="T62" i="18"/>
  <c r="T130" i="18"/>
  <c r="T118" i="18"/>
  <c r="T84" i="18"/>
  <c r="T96" i="18"/>
  <c r="T19" i="18"/>
  <c r="T97" i="18"/>
  <c r="T33" i="3"/>
  <c r="S33" i="3"/>
  <c r="R33" i="3"/>
  <c r="Q33" i="3"/>
  <c r="U33" i="3" l="1"/>
  <c r="V33" i="3" s="1"/>
  <c r="AA42" i="3"/>
  <c r="Z42" i="3"/>
  <c r="Y42" i="3"/>
  <c r="X42" i="3"/>
  <c r="AA36" i="3"/>
  <c r="Z36" i="3"/>
  <c r="Y36" i="3"/>
  <c r="X36" i="3"/>
  <c r="AA30" i="3"/>
  <c r="Z30" i="3"/>
  <c r="Y30" i="3"/>
  <c r="X30" i="3"/>
  <c r="AB36" i="3" l="1"/>
  <c r="AC36" i="3" s="1"/>
  <c r="AB42" i="3"/>
  <c r="AC42" i="3" s="1"/>
  <c r="AB30" i="3"/>
  <c r="AC30" i="3" s="1"/>
  <c r="Q13" i="18" l="1"/>
  <c r="Q12" i="18"/>
  <c r="Q11" i="18"/>
  <c r="Q10" i="18"/>
  <c r="Q9" i="18"/>
  <c r="Q8" i="18"/>
  <c r="AO110" i="2"/>
  <c r="AN110" i="2"/>
  <c r="AM110" i="2"/>
  <c r="AO148" i="2"/>
  <c r="AN148" i="2"/>
  <c r="AM148" i="2"/>
  <c r="AO147" i="2"/>
  <c r="AN147" i="2"/>
  <c r="AM147" i="2"/>
  <c r="AO129" i="2"/>
  <c r="AN129" i="2"/>
  <c r="AM129" i="2"/>
  <c r="AO128" i="2"/>
  <c r="AN128" i="2"/>
  <c r="AM128" i="2"/>
  <c r="AO72" i="2"/>
  <c r="AN72" i="2"/>
  <c r="AM72" i="2"/>
  <c r="AO71" i="2"/>
  <c r="AN71" i="2"/>
  <c r="AM71" i="2"/>
  <c r="AO34" i="2"/>
  <c r="AN34" i="2"/>
  <c r="AM34" i="2"/>
  <c r="AO33" i="2"/>
  <c r="AN33" i="2"/>
  <c r="AM33" i="2"/>
  <c r="AO167" i="2"/>
  <c r="AN167" i="2"/>
  <c r="AM167" i="2"/>
  <c r="AO166" i="2"/>
  <c r="AN166" i="2"/>
  <c r="AM166" i="2"/>
  <c r="AO87" i="2"/>
  <c r="AN87" i="2"/>
  <c r="AM87" i="2"/>
  <c r="AO86" i="2"/>
  <c r="AN86" i="2"/>
  <c r="AM86" i="2"/>
  <c r="AO85" i="2"/>
  <c r="AN85" i="2"/>
  <c r="AM85" i="2"/>
  <c r="AO53" i="2"/>
  <c r="AN53" i="2"/>
  <c r="AM53" i="2"/>
  <c r="AO52" i="2"/>
  <c r="AN52" i="2"/>
  <c r="AM52" i="2"/>
  <c r="AO51" i="2"/>
  <c r="AN51" i="2"/>
  <c r="AM51" i="2"/>
  <c r="AO15" i="2"/>
  <c r="AN15" i="2"/>
  <c r="AM15" i="2"/>
  <c r="AO14" i="2"/>
  <c r="AN14" i="2"/>
  <c r="AM14" i="2"/>
  <c r="AO186" i="2"/>
  <c r="AN186" i="2"/>
  <c r="AM186" i="2"/>
  <c r="AM185" i="2"/>
  <c r="AM177" i="2"/>
  <c r="AN177" i="2"/>
  <c r="AO177" i="2"/>
  <c r="AM178" i="2"/>
  <c r="AN178" i="2"/>
  <c r="AO178" i="2"/>
  <c r="AM179" i="2"/>
  <c r="AN179" i="2"/>
  <c r="AO179" i="2"/>
  <c r="AM180" i="2"/>
  <c r="AN180" i="2"/>
  <c r="AO180" i="2"/>
  <c r="AM181" i="2"/>
  <c r="AN181" i="2"/>
  <c r="AO181" i="2"/>
  <c r="AM182" i="2"/>
  <c r="AN182" i="2"/>
  <c r="AO182" i="2"/>
  <c r="AM183" i="2"/>
  <c r="AN183" i="2"/>
  <c r="AO183" i="2"/>
  <c r="AM184" i="2"/>
  <c r="AN184" i="2"/>
  <c r="AO184" i="2"/>
  <c r="AN185" i="2"/>
  <c r="AO185" i="2"/>
  <c r="AM188" i="2"/>
  <c r="AN188" i="2"/>
  <c r="AO188" i="2"/>
  <c r="AN189" i="2"/>
  <c r="AO189" i="2"/>
  <c r="AN190" i="2"/>
  <c r="AO190" i="2"/>
  <c r="AN191" i="2"/>
  <c r="AO191" i="2"/>
  <c r="AM6" i="2"/>
  <c r="AN6" i="2"/>
  <c r="AO6" i="2"/>
  <c r="AM7" i="2"/>
  <c r="AN7" i="2"/>
  <c r="AO7" i="2"/>
  <c r="AM8" i="2"/>
  <c r="AN8" i="2"/>
  <c r="AO8" i="2"/>
  <c r="AM9" i="2"/>
  <c r="AN9" i="2"/>
  <c r="AO9" i="2"/>
  <c r="AM10" i="2"/>
  <c r="AN10" i="2"/>
  <c r="AO10" i="2"/>
  <c r="AM11" i="2"/>
  <c r="AN11" i="2"/>
  <c r="AO11" i="2"/>
  <c r="AM12" i="2"/>
  <c r="AN12" i="2"/>
  <c r="AO12" i="2"/>
  <c r="AM13" i="2"/>
  <c r="AN13" i="2"/>
  <c r="AO13" i="2"/>
  <c r="AM17" i="2"/>
  <c r="AN17" i="2"/>
  <c r="AO17" i="2"/>
  <c r="AN18" i="2"/>
  <c r="AO18" i="2"/>
  <c r="AN19" i="2"/>
  <c r="AO19" i="2"/>
  <c r="AN20" i="2"/>
  <c r="AO20" i="2"/>
  <c r="AM44" i="2"/>
  <c r="AN44" i="2"/>
  <c r="AO44" i="2"/>
  <c r="AM45" i="2"/>
  <c r="AN45" i="2"/>
  <c r="AO45" i="2"/>
  <c r="AM46" i="2"/>
  <c r="AN46" i="2"/>
  <c r="AO46" i="2"/>
  <c r="AM47" i="2"/>
  <c r="AN47" i="2"/>
  <c r="AO47" i="2"/>
  <c r="AM48" i="2"/>
  <c r="AN48" i="2"/>
  <c r="AO48" i="2"/>
  <c r="AM49" i="2"/>
  <c r="AN49" i="2"/>
  <c r="AO49" i="2"/>
  <c r="AM50" i="2"/>
  <c r="AN50" i="2"/>
  <c r="AO50" i="2"/>
  <c r="AN56" i="2"/>
  <c r="AO56" i="2"/>
  <c r="AN57" i="2"/>
  <c r="AO57" i="2"/>
  <c r="AN58" i="2"/>
  <c r="AO58" i="2"/>
  <c r="AM82" i="2"/>
  <c r="AN82" i="2"/>
  <c r="AO82" i="2"/>
  <c r="AM83" i="2"/>
  <c r="AN83" i="2"/>
  <c r="AO83" i="2"/>
  <c r="AM84" i="2"/>
  <c r="AN84" i="2"/>
  <c r="AO84" i="2"/>
  <c r="AM88" i="2"/>
  <c r="AN88" i="2"/>
  <c r="AO88" i="2"/>
  <c r="AM89" i="2"/>
  <c r="AN89" i="2"/>
  <c r="AO89" i="2"/>
  <c r="AM90" i="2"/>
  <c r="AN90" i="2"/>
  <c r="AO90" i="2"/>
  <c r="AM91" i="2"/>
  <c r="AN91" i="2"/>
  <c r="AO91" i="2"/>
  <c r="AM93" i="2"/>
  <c r="AN93" i="2"/>
  <c r="AO93" i="2"/>
  <c r="AN94" i="2"/>
  <c r="AO94" i="2"/>
  <c r="AN95" i="2"/>
  <c r="AO95" i="2"/>
  <c r="AN96" i="2"/>
  <c r="AO96" i="2"/>
  <c r="BP225" i="2" l="1"/>
  <c r="BO225" i="2"/>
  <c r="BN225" i="2"/>
  <c r="BM225" i="2"/>
  <c r="BL225" i="2"/>
  <c r="BK225" i="2"/>
  <c r="BJ225" i="2"/>
  <c r="BH225" i="2"/>
  <c r="BG225" i="2"/>
  <c r="BI225" i="2"/>
  <c r="BF225" i="2"/>
  <c r="BE225" i="2"/>
  <c r="BD225" i="2"/>
  <c r="BC225" i="2"/>
  <c r="BB225" i="2"/>
  <c r="BA225" i="2"/>
  <c r="AZ225" i="2"/>
  <c r="AY225" i="2"/>
  <c r="AX225" i="2"/>
  <c r="AW225" i="2"/>
  <c r="U23" i="1"/>
  <c r="Q26" i="18"/>
  <c r="U26" i="18" s="1"/>
  <c r="Q21" i="18"/>
  <c r="U117" i="18" s="1"/>
  <c r="Q20" i="18"/>
  <c r="Q19" i="18"/>
  <c r="Q16" i="18"/>
  <c r="Q15" i="18"/>
  <c r="U86" i="18" s="1"/>
  <c r="Q14" i="18"/>
  <c r="U36" i="18" s="1"/>
  <c r="R145" i="18"/>
  <c r="R144" i="18"/>
  <c r="R143" i="18"/>
  <c r="R142" i="18"/>
  <c r="R141" i="18"/>
  <c r="R137" i="18"/>
  <c r="R136" i="18"/>
  <c r="R135" i="18"/>
  <c r="R134" i="18"/>
  <c r="R133" i="18"/>
  <c r="R132" i="18"/>
  <c r="R131" i="18"/>
  <c r="R130" i="18"/>
  <c r="R129" i="18"/>
  <c r="R124" i="18"/>
  <c r="R123" i="18"/>
  <c r="R121" i="18"/>
  <c r="R120" i="18"/>
  <c r="R119" i="18"/>
  <c r="R118" i="18"/>
  <c r="R117" i="18"/>
  <c r="R111" i="18"/>
  <c r="R110" i="18"/>
  <c r="R109" i="18"/>
  <c r="R108" i="18"/>
  <c r="R107" i="18"/>
  <c r="R106" i="18"/>
  <c r="R105" i="18"/>
  <c r="R104" i="18"/>
  <c r="R99" i="18"/>
  <c r="R98" i="18"/>
  <c r="R97" i="18"/>
  <c r="R96" i="18"/>
  <c r="R95" i="18"/>
  <c r="R94" i="18"/>
  <c r="R93" i="18"/>
  <c r="R92" i="18"/>
  <c r="R91" i="18"/>
  <c r="R90" i="18"/>
  <c r="R89" i="18"/>
  <c r="R85" i="18"/>
  <c r="R84" i="18"/>
  <c r="R83" i="18"/>
  <c r="R82" i="18"/>
  <c r="R81" i="18"/>
  <c r="R80" i="18"/>
  <c r="R79" i="18"/>
  <c r="R78" i="18"/>
  <c r="R77" i="18"/>
  <c r="R76" i="18"/>
  <c r="R70" i="18"/>
  <c r="R69" i="18"/>
  <c r="R68" i="18"/>
  <c r="R67" i="18"/>
  <c r="R66" i="18"/>
  <c r="R65" i="18"/>
  <c r="R61" i="18"/>
  <c r="R60" i="18"/>
  <c r="R56" i="18"/>
  <c r="R55" i="18"/>
  <c r="R54" i="18"/>
  <c r="R53" i="18"/>
  <c r="R49" i="18"/>
  <c r="R48" i="18"/>
  <c r="R44" i="18"/>
  <c r="R43" i="18"/>
  <c r="R42" i="18"/>
  <c r="R41" i="18"/>
  <c r="R40" i="18"/>
  <c r="R39" i="18"/>
  <c r="R35" i="18"/>
  <c r="R34" i="18"/>
  <c r="R30" i="18"/>
  <c r="R29" i="18"/>
  <c r="R28" i="18"/>
  <c r="R27" i="18"/>
  <c r="R26" i="18"/>
  <c r="R21" i="18"/>
  <c r="R20" i="18"/>
  <c r="R19" i="18"/>
  <c r="R16" i="18"/>
  <c r="R15" i="18"/>
  <c r="R14" i="18"/>
  <c r="R13" i="18"/>
  <c r="R12" i="18"/>
  <c r="R122" i="18"/>
  <c r="C2" i="19"/>
  <c r="D2" i="19" s="1"/>
  <c r="E2" i="19" s="1"/>
  <c r="F2" i="19" s="1"/>
  <c r="G2" i="19" s="1"/>
  <c r="H2" i="19" s="1"/>
  <c r="I2" i="19" s="1"/>
  <c r="J2" i="19" s="1"/>
  <c r="K2" i="19" s="1"/>
  <c r="L2" i="19" s="1"/>
  <c r="M2" i="19" s="1"/>
  <c r="N2" i="19" s="1"/>
  <c r="O2" i="19" s="1"/>
  <c r="P2" i="19" s="1"/>
  <c r="Q2" i="19" s="1"/>
  <c r="R2" i="19" s="1"/>
  <c r="S2" i="19" s="1"/>
  <c r="T2" i="19" s="1"/>
  <c r="U2" i="19" s="1"/>
  <c r="V2" i="19" s="1"/>
  <c r="W2" i="19" s="1"/>
  <c r="X2" i="19" s="1"/>
  <c r="Y2" i="19" s="1"/>
  <c r="Z2" i="19" s="1"/>
  <c r="AA2" i="19" s="1"/>
  <c r="AB2" i="19" s="1"/>
  <c r="AC2" i="19" s="1"/>
  <c r="AD2" i="19" s="1"/>
  <c r="AE2" i="19" s="1"/>
  <c r="C6" i="19"/>
  <c r="D6" i="19" s="1"/>
  <c r="E6" i="19" s="1"/>
  <c r="F6" i="19" s="1"/>
  <c r="G6" i="19" s="1"/>
  <c r="H6" i="19" s="1"/>
  <c r="I6" i="19" s="1"/>
  <c r="J6" i="19" s="1"/>
  <c r="K6" i="19" s="1"/>
  <c r="L6" i="19" s="1"/>
  <c r="M6" i="19" s="1"/>
  <c r="N6" i="19" s="1"/>
  <c r="O6" i="19" s="1"/>
  <c r="P6" i="19" s="1"/>
  <c r="Q6" i="19" s="1"/>
  <c r="R6" i="19" s="1"/>
  <c r="S6" i="19" s="1"/>
  <c r="T6" i="19" s="1"/>
  <c r="U6" i="19" s="1"/>
  <c r="V6" i="19" s="1"/>
  <c r="W6" i="19" s="1"/>
  <c r="X6" i="19" s="1"/>
  <c r="Y6" i="19" s="1"/>
  <c r="Z6" i="19" s="1"/>
  <c r="AA6" i="19" s="1"/>
  <c r="AB6" i="19" s="1"/>
  <c r="AC6" i="19" s="1"/>
  <c r="AD6" i="19" s="1"/>
  <c r="AE6" i="19" s="1"/>
  <c r="U38" i="1"/>
  <c r="U37" i="1"/>
  <c r="U36" i="1"/>
  <c r="U35" i="1"/>
  <c r="U34" i="1"/>
  <c r="U33" i="1"/>
  <c r="U32" i="1"/>
  <c r="E6" i="1"/>
  <c r="I6" i="1"/>
  <c r="G6" i="1"/>
  <c r="AO172" i="2"/>
  <c r="E12" i="1" s="1"/>
  <c r="AN172" i="2"/>
  <c r="AO171" i="2"/>
  <c r="I12" i="1" s="1"/>
  <c r="AN171" i="2"/>
  <c r="AO170" i="2"/>
  <c r="G12" i="1" s="1"/>
  <c r="AN170" i="2"/>
  <c r="AO169" i="2"/>
  <c r="AN169" i="2"/>
  <c r="AM169" i="2"/>
  <c r="AO165" i="2"/>
  <c r="AN165" i="2"/>
  <c r="AM165" i="2"/>
  <c r="AO164" i="2"/>
  <c r="AN164" i="2"/>
  <c r="AM164" i="2"/>
  <c r="AO163" i="2"/>
  <c r="AN163" i="2"/>
  <c r="AM163" i="2"/>
  <c r="AO162" i="2"/>
  <c r="AN162" i="2"/>
  <c r="AM162" i="2"/>
  <c r="AO161" i="2"/>
  <c r="AN161" i="2"/>
  <c r="AM161" i="2"/>
  <c r="AO160" i="2"/>
  <c r="AN160" i="2"/>
  <c r="AM160" i="2"/>
  <c r="AO159" i="2"/>
  <c r="AN159" i="2"/>
  <c r="AM159" i="2"/>
  <c r="AO158" i="2"/>
  <c r="AN158" i="2"/>
  <c r="AM158" i="2"/>
  <c r="AO115" i="2"/>
  <c r="AN115" i="2"/>
  <c r="AO114" i="2"/>
  <c r="AN114" i="2"/>
  <c r="AO113" i="2"/>
  <c r="AN113" i="2"/>
  <c r="AO112" i="2"/>
  <c r="AN112" i="2"/>
  <c r="AM112" i="2"/>
  <c r="AO109" i="2"/>
  <c r="AN109" i="2"/>
  <c r="AM109" i="2"/>
  <c r="AO108" i="2"/>
  <c r="AN108" i="2"/>
  <c r="AM108" i="2"/>
  <c r="AO107" i="2"/>
  <c r="AN107" i="2"/>
  <c r="AM107" i="2"/>
  <c r="AO106" i="2"/>
  <c r="AN106" i="2"/>
  <c r="AM106" i="2"/>
  <c r="AO105" i="2"/>
  <c r="AN105" i="2"/>
  <c r="AM105" i="2"/>
  <c r="AO104" i="2"/>
  <c r="AN104" i="2"/>
  <c r="AM104" i="2"/>
  <c r="AO103" i="2"/>
  <c r="AN103" i="2"/>
  <c r="AM103" i="2"/>
  <c r="AO102" i="2"/>
  <c r="AN102" i="2"/>
  <c r="AM102" i="2"/>
  <c r="AO101" i="2"/>
  <c r="AN101" i="2"/>
  <c r="AM101" i="2"/>
  <c r="AO39" i="2"/>
  <c r="E5" i="1" s="1"/>
  <c r="AN39" i="2"/>
  <c r="AO38" i="2"/>
  <c r="AN38" i="2"/>
  <c r="AO37" i="2"/>
  <c r="AN37" i="2"/>
  <c r="AO36" i="2"/>
  <c r="AN36" i="2"/>
  <c r="AM36" i="2"/>
  <c r="AO32" i="2"/>
  <c r="AN32" i="2"/>
  <c r="AM32" i="2"/>
  <c r="AO31" i="2"/>
  <c r="AN31" i="2"/>
  <c r="AM31" i="2"/>
  <c r="AO30" i="2"/>
  <c r="AN30" i="2"/>
  <c r="AM30" i="2"/>
  <c r="AO29" i="2"/>
  <c r="AN29" i="2"/>
  <c r="AM29" i="2"/>
  <c r="AO28" i="2"/>
  <c r="AN28" i="2"/>
  <c r="AM28" i="2"/>
  <c r="AO27" i="2"/>
  <c r="AN27" i="2"/>
  <c r="AM27" i="2"/>
  <c r="AO26" i="2"/>
  <c r="AN26" i="2"/>
  <c r="AM26" i="2"/>
  <c r="AO25" i="2"/>
  <c r="AN25" i="2"/>
  <c r="AM25" i="2"/>
  <c r="AO77" i="2"/>
  <c r="AN77" i="2"/>
  <c r="AO76" i="2"/>
  <c r="AN76" i="2"/>
  <c r="AO75" i="2"/>
  <c r="AN75" i="2"/>
  <c r="AO74" i="2"/>
  <c r="AN74" i="2"/>
  <c r="AM74" i="2"/>
  <c r="AO70" i="2"/>
  <c r="AN70" i="2"/>
  <c r="AM70" i="2"/>
  <c r="AO69" i="2"/>
  <c r="AN69" i="2"/>
  <c r="AM69" i="2"/>
  <c r="AO68" i="2"/>
  <c r="AN68" i="2"/>
  <c r="AM68" i="2"/>
  <c r="AO67" i="2"/>
  <c r="AN67" i="2"/>
  <c r="AM67" i="2"/>
  <c r="AO66" i="2"/>
  <c r="AN66" i="2"/>
  <c r="AM66" i="2"/>
  <c r="AO65" i="2"/>
  <c r="AN65" i="2"/>
  <c r="AM65" i="2"/>
  <c r="AO64" i="2"/>
  <c r="AN64" i="2"/>
  <c r="AM64" i="2"/>
  <c r="AO153" i="2"/>
  <c r="AN153" i="2"/>
  <c r="AO152" i="2"/>
  <c r="AN152" i="2"/>
  <c r="AO151" i="2"/>
  <c r="AN151" i="2"/>
  <c r="AO150" i="2"/>
  <c r="AN150" i="2"/>
  <c r="AM150" i="2"/>
  <c r="AO146" i="2"/>
  <c r="AN146" i="2"/>
  <c r="AM146" i="2"/>
  <c r="AO145" i="2"/>
  <c r="AN145" i="2"/>
  <c r="AM145" i="2"/>
  <c r="AO144" i="2"/>
  <c r="AN144" i="2"/>
  <c r="AM144" i="2"/>
  <c r="AO143" i="2"/>
  <c r="AN143" i="2"/>
  <c r="AM143" i="2"/>
  <c r="AO142" i="2"/>
  <c r="AN142" i="2"/>
  <c r="AM142" i="2"/>
  <c r="AO141" i="2"/>
  <c r="AN141" i="2"/>
  <c r="AM141" i="2"/>
  <c r="AO140" i="2"/>
  <c r="AN140" i="2"/>
  <c r="AM140" i="2"/>
  <c r="AO139" i="2"/>
  <c r="AN139" i="2"/>
  <c r="AM139" i="2"/>
  <c r="AO134" i="2"/>
  <c r="AN134" i="2"/>
  <c r="AO133" i="2"/>
  <c r="AN133" i="2"/>
  <c r="AO132" i="2"/>
  <c r="AN132" i="2"/>
  <c r="AO131" i="2"/>
  <c r="AN131" i="2"/>
  <c r="AM131" i="2"/>
  <c r="AO130" i="2"/>
  <c r="AN130" i="2"/>
  <c r="AM130" i="2"/>
  <c r="AO127" i="2"/>
  <c r="AN127" i="2"/>
  <c r="AM127" i="2"/>
  <c r="AO126" i="2"/>
  <c r="AN126" i="2"/>
  <c r="AM126" i="2"/>
  <c r="AO125" i="2"/>
  <c r="AN125" i="2"/>
  <c r="AM125" i="2"/>
  <c r="AO124" i="2"/>
  <c r="AN124" i="2"/>
  <c r="AM124" i="2"/>
  <c r="AO123" i="2"/>
  <c r="AN123" i="2"/>
  <c r="AM123" i="2"/>
  <c r="AO122" i="2"/>
  <c r="AN122" i="2"/>
  <c r="AM122" i="2"/>
  <c r="AO121" i="2"/>
  <c r="AN121" i="2"/>
  <c r="AM121" i="2"/>
  <c r="AO120" i="2"/>
  <c r="AN120" i="2"/>
  <c r="AM120" i="2"/>
  <c r="U101" i="18" l="1"/>
  <c r="U47" i="18"/>
  <c r="U45" i="18"/>
  <c r="U64" i="18"/>
  <c r="U87" i="18"/>
  <c r="U46" i="18"/>
  <c r="U76" i="18"/>
  <c r="U126" i="18"/>
  <c r="U128" i="18"/>
  <c r="U115" i="18"/>
  <c r="U31" i="18"/>
  <c r="U59" i="18"/>
  <c r="U107" i="18"/>
  <c r="U32" i="18"/>
  <c r="U58" i="18"/>
  <c r="U90" i="18"/>
  <c r="U102" i="18"/>
  <c r="U133" i="18"/>
  <c r="U71" i="18"/>
  <c r="U33" i="18"/>
  <c r="U72" i="18"/>
  <c r="U35" i="18"/>
  <c r="U131" i="18"/>
  <c r="U110" i="18"/>
  <c r="AF6" i="19"/>
  <c r="AG6" i="19" s="1"/>
  <c r="AH6" i="19" s="1"/>
  <c r="AI6" i="19" s="1"/>
  <c r="AJ6" i="19" s="1"/>
  <c r="AF2" i="19"/>
  <c r="AG2" i="19" s="1"/>
  <c r="AH2" i="19" s="1"/>
  <c r="AI2" i="19" s="1"/>
  <c r="AJ2" i="19" s="1"/>
  <c r="U89" i="18"/>
  <c r="U56" i="18"/>
  <c r="U27" i="18"/>
  <c r="U63" i="18"/>
  <c r="U40" i="18"/>
  <c r="U148" i="18"/>
  <c r="U150" i="18"/>
  <c r="U94" i="18"/>
  <c r="U113" i="18"/>
  <c r="U120" i="18"/>
  <c r="U18" i="18"/>
  <c r="U37" i="18"/>
  <c r="U145" i="18"/>
  <c r="U93" i="18"/>
  <c r="U42" i="18"/>
  <c r="U122" i="18"/>
  <c r="U112" i="18"/>
  <c r="U129" i="18"/>
  <c r="U85" i="18"/>
  <c r="U28" i="18"/>
  <c r="U20" i="18"/>
  <c r="U34" i="18"/>
  <c r="U29" i="18"/>
  <c r="U146" i="18"/>
  <c r="U55" i="18"/>
  <c r="U54" i="18"/>
  <c r="U144" i="18"/>
  <c r="U14" i="18"/>
  <c r="U79" i="18"/>
  <c r="U75" i="18"/>
  <c r="U147" i="18"/>
  <c r="U143" i="18"/>
  <c r="U121" i="18"/>
  <c r="U69" i="18"/>
  <c r="U68" i="18"/>
  <c r="U17" i="18"/>
  <c r="U139" i="18"/>
  <c r="U111" i="18"/>
  <c r="U49" i="18"/>
  <c r="U106" i="18"/>
  <c r="U119" i="18"/>
  <c r="U132" i="18"/>
  <c r="U96" i="18"/>
  <c r="U124" i="18"/>
  <c r="U62" i="18"/>
  <c r="U84" i="18"/>
  <c r="U130" i="18"/>
  <c r="U74" i="18"/>
  <c r="U51" i="18"/>
  <c r="U44" i="18"/>
  <c r="U142" i="18"/>
  <c r="U105" i="18"/>
  <c r="U140" i="18"/>
  <c r="U99" i="18"/>
  <c r="U60" i="18"/>
  <c r="U15" i="18"/>
  <c r="U43" i="18"/>
  <c r="U100" i="18"/>
  <c r="U48" i="18"/>
  <c r="U83" i="18"/>
  <c r="U118" i="18"/>
  <c r="U16" i="18"/>
  <c r="U13" i="18"/>
  <c r="U138" i="18"/>
  <c r="U70" i="18"/>
  <c r="U21" i="18"/>
  <c r="U82" i="18"/>
  <c r="U141" i="18"/>
  <c r="U19" i="18"/>
  <c r="U136" i="18"/>
  <c r="U97" i="18"/>
  <c r="U65" i="18"/>
  <c r="U30" i="18"/>
  <c r="U125" i="18"/>
  <c r="U77" i="18"/>
  <c r="U12" i="18" l="1"/>
  <c r="C3" i="19" l="1"/>
  <c r="D3" i="19" s="1"/>
  <c r="E3" i="19" s="1"/>
  <c r="F3" i="19" s="1"/>
  <c r="G3" i="19" s="1"/>
  <c r="H3" i="19" s="1"/>
  <c r="I3" i="19" s="1"/>
  <c r="J3" i="19" s="1"/>
  <c r="K3" i="19" s="1"/>
  <c r="L3" i="19" s="1"/>
  <c r="M3" i="19" s="1"/>
  <c r="N3" i="19" s="1"/>
  <c r="O3" i="19" s="1"/>
  <c r="P3" i="19" s="1"/>
  <c r="Q3" i="19" s="1"/>
  <c r="R3" i="19" s="1"/>
  <c r="S3" i="19" s="1"/>
  <c r="T3" i="19" s="1"/>
  <c r="U3" i="19" s="1"/>
  <c r="V3" i="19" s="1"/>
  <c r="W3" i="19" s="1"/>
  <c r="X3" i="19" s="1"/>
  <c r="Y3" i="19" s="1"/>
  <c r="Z3" i="19" s="1"/>
  <c r="AA3" i="19" s="1"/>
  <c r="AB3" i="19" s="1"/>
  <c r="AC3" i="19" s="1"/>
  <c r="AD3" i="19" s="1"/>
  <c r="AE3" i="19" s="1"/>
  <c r="C9" i="19"/>
  <c r="D9" i="19" s="1"/>
  <c r="E9" i="19" s="1"/>
  <c r="F9" i="19" s="1"/>
  <c r="G9" i="19" s="1"/>
  <c r="H9" i="19" s="1"/>
  <c r="I9" i="19" s="1"/>
  <c r="J9" i="19" s="1"/>
  <c r="K9" i="19" s="1"/>
  <c r="L9" i="19" s="1"/>
  <c r="M9" i="19" s="1"/>
  <c r="N9" i="19" s="1"/>
  <c r="O9" i="19" s="1"/>
  <c r="P9" i="19" s="1"/>
  <c r="Q9" i="19" s="1"/>
  <c r="R9" i="19" s="1"/>
  <c r="S9" i="19" s="1"/>
  <c r="T9" i="19" s="1"/>
  <c r="U9" i="19" s="1"/>
  <c r="V9" i="19" s="1"/>
  <c r="W9" i="19" s="1"/>
  <c r="X9" i="19" s="1"/>
  <c r="Y9" i="19" s="1"/>
  <c r="Z9" i="19" s="1"/>
  <c r="AA9" i="19" s="1"/>
  <c r="AB9" i="19" s="1"/>
  <c r="AC9" i="19" s="1"/>
  <c r="AD9" i="19" s="1"/>
  <c r="AE9" i="19" s="1"/>
  <c r="C7" i="19"/>
  <c r="D7" i="19" s="1"/>
  <c r="E7" i="19" s="1"/>
  <c r="F7" i="19" s="1"/>
  <c r="G7" i="19" s="1"/>
  <c r="H7" i="19" s="1"/>
  <c r="I7" i="19" s="1"/>
  <c r="J7" i="19" s="1"/>
  <c r="K7" i="19" s="1"/>
  <c r="L7" i="19" s="1"/>
  <c r="M7" i="19" s="1"/>
  <c r="N7" i="19" s="1"/>
  <c r="O7" i="19" s="1"/>
  <c r="P7" i="19" s="1"/>
  <c r="Q7" i="19" s="1"/>
  <c r="R7" i="19" s="1"/>
  <c r="S7" i="19" s="1"/>
  <c r="T7" i="19" s="1"/>
  <c r="U7" i="19" s="1"/>
  <c r="V7" i="19" s="1"/>
  <c r="W7" i="19" s="1"/>
  <c r="X7" i="19" s="1"/>
  <c r="Y7" i="19" s="1"/>
  <c r="Z7" i="19" s="1"/>
  <c r="AA7" i="19" s="1"/>
  <c r="AB7" i="19" s="1"/>
  <c r="AC7" i="19" s="1"/>
  <c r="AD7" i="19" s="1"/>
  <c r="AE7" i="19" s="1"/>
  <c r="C11" i="19"/>
  <c r="D11" i="19" s="1"/>
  <c r="E11" i="19" s="1"/>
  <c r="F11" i="19" s="1"/>
  <c r="G11" i="19" s="1"/>
  <c r="H11" i="19" s="1"/>
  <c r="I11" i="19" s="1"/>
  <c r="J11" i="19" s="1"/>
  <c r="K11" i="19" s="1"/>
  <c r="L11" i="19" s="1"/>
  <c r="M11" i="19" s="1"/>
  <c r="N11" i="19" s="1"/>
  <c r="O11" i="19" s="1"/>
  <c r="P11" i="19" s="1"/>
  <c r="Q11" i="19" s="1"/>
  <c r="R11" i="19" s="1"/>
  <c r="S11" i="19" s="1"/>
  <c r="T11" i="19" s="1"/>
  <c r="U11" i="19" s="1"/>
  <c r="V11" i="19" s="1"/>
  <c r="W11" i="19" s="1"/>
  <c r="X11" i="19" s="1"/>
  <c r="Y11" i="19" s="1"/>
  <c r="Z11" i="19" s="1"/>
  <c r="AA11" i="19" s="1"/>
  <c r="AB11" i="19" s="1"/>
  <c r="AC11" i="19" s="1"/>
  <c r="AD11" i="19" s="1"/>
  <c r="AE11" i="19" s="1"/>
  <c r="C10" i="19"/>
  <c r="D10" i="19" s="1"/>
  <c r="E10" i="19" s="1"/>
  <c r="F10" i="19" s="1"/>
  <c r="G10" i="19" s="1"/>
  <c r="H10" i="19" s="1"/>
  <c r="I10" i="19" s="1"/>
  <c r="J10" i="19" s="1"/>
  <c r="K10" i="19" s="1"/>
  <c r="L10" i="19" s="1"/>
  <c r="M10" i="19" s="1"/>
  <c r="N10" i="19" s="1"/>
  <c r="O10" i="19" s="1"/>
  <c r="P10" i="19" s="1"/>
  <c r="Q10" i="19" s="1"/>
  <c r="R10" i="19" s="1"/>
  <c r="S10" i="19" s="1"/>
  <c r="T10" i="19" s="1"/>
  <c r="U10" i="19" s="1"/>
  <c r="V10" i="19" s="1"/>
  <c r="W10" i="19" s="1"/>
  <c r="X10" i="19" s="1"/>
  <c r="Y10" i="19" s="1"/>
  <c r="Z10" i="19" s="1"/>
  <c r="AA10" i="19" s="1"/>
  <c r="AB10" i="19" s="1"/>
  <c r="AC10" i="19" s="1"/>
  <c r="AD10" i="19" s="1"/>
  <c r="AE10" i="19" s="1"/>
  <c r="C4" i="19"/>
  <c r="D4" i="19" s="1"/>
  <c r="E4" i="19" s="1"/>
  <c r="F4" i="19" s="1"/>
  <c r="G4" i="19" s="1"/>
  <c r="H4" i="19" s="1"/>
  <c r="I4" i="19" s="1"/>
  <c r="J4" i="19" s="1"/>
  <c r="K4" i="19" s="1"/>
  <c r="L4" i="19" s="1"/>
  <c r="M4" i="19" s="1"/>
  <c r="N4" i="19" s="1"/>
  <c r="O4" i="19" s="1"/>
  <c r="P4" i="19" s="1"/>
  <c r="Q4" i="19" s="1"/>
  <c r="R4" i="19" s="1"/>
  <c r="S4" i="19" s="1"/>
  <c r="T4" i="19" s="1"/>
  <c r="U4" i="19" s="1"/>
  <c r="V4" i="19" s="1"/>
  <c r="W4" i="19" s="1"/>
  <c r="X4" i="19" s="1"/>
  <c r="Y4" i="19" s="1"/>
  <c r="Z4" i="19" s="1"/>
  <c r="AA4" i="19" s="1"/>
  <c r="AB4" i="19" s="1"/>
  <c r="AC4" i="19" s="1"/>
  <c r="AD4" i="19" s="1"/>
  <c r="AE4" i="19" s="1"/>
  <c r="C5" i="19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P5" i="19" s="1"/>
  <c r="Q5" i="19" s="1"/>
  <c r="R5" i="19" s="1"/>
  <c r="S5" i="19" s="1"/>
  <c r="T5" i="19" s="1"/>
  <c r="U5" i="19" s="1"/>
  <c r="V5" i="19" s="1"/>
  <c r="W5" i="19" s="1"/>
  <c r="X5" i="19" s="1"/>
  <c r="Y5" i="19" s="1"/>
  <c r="Z5" i="19" s="1"/>
  <c r="AA5" i="19" s="1"/>
  <c r="AB5" i="19" s="1"/>
  <c r="AC5" i="19" s="1"/>
  <c r="AD5" i="19" s="1"/>
  <c r="AE5" i="19" s="1"/>
  <c r="AF5" i="19" s="1"/>
  <c r="AG5" i="19" s="1"/>
  <c r="AH5" i="19" s="1"/>
  <c r="AI5" i="19" s="1"/>
  <c r="AJ5" i="19" s="1"/>
  <c r="C8" i="19"/>
  <c r="D8" i="19" s="1"/>
  <c r="E8" i="19" s="1"/>
  <c r="F8" i="19" s="1"/>
  <c r="G8" i="19" s="1"/>
  <c r="H8" i="19" s="1"/>
  <c r="I8" i="19" s="1"/>
  <c r="J8" i="19" s="1"/>
  <c r="K8" i="19" s="1"/>
  <c r="L8" i="19" s="1"/>
  <c r="M8" i="19" s="1"/>
  <c r="N8" i="19" s="1"/>
  <c r="O8" i="19" s="1"/>
  <c r="P8" i="19" s="1"/>
  <c r="Q8" i="19" s="1"/>
  <c r="R8" i="19" s="1"/>
  <c r="S8" i="19" s="1"/>
  <c r="T8" i="19" s="1"/>
  <c r="U8" i="19" s="1"/>
  <c r="V8" i="19" s="1"/>
  <c r="W8" i="19" s="1"/>
  <c r="X8" i="19" s="1"/>
  <c r="Y8" i="19" s="1"/>
  <c r="Z8" i="19" s="1"/>
  <c r="AA8" i="19" s="1"/>
  <c r="AB8" i="19" s="1"/>
  <c r="AC8" i="19" s="1"/>
  <c r="AD8" i="19" s="1"/>
  <c r="AE8" i="19" s="1"/>
  <c r="AF11" i="19" l="1"/>
  <c r="AG11" i="19" s="1"/>
  <c r="AH11" i="19" s="1"/>
  <c r="AI11" i="19" s="1"/>
  <c r="AJ11" i="19" s="1"/>
  <c r="AF10" i="19"/>
  <c r="AG10" i="19" s="1"/>
  <c r="AH10" i="19" s="1"/>
  <c r="AI10" i="19" s="1"/>
  <c r="AJ10" i="19" s="1"/>
  <c r="AF9" i="19"/>
  <c r="AG9" i="19" s="1"/>
  <c r="AH9" i="19" s="1"/>
  <c r="AI9" i="19" s="1"/>
  <c r="AJ9" i="19" s="1"/>
  <c r="AF8" i="19"/>
  <c r="AG8" i="19" s="1"/>
  <c r="AH8" i="19" s="1"/>
  <c r="AI8" i="19" s="1"/>
  <c r="AJ8" i="19" s="1"/>
  <c r="AF7" i="19"/>
  <c r="AG7" i="19" s="1"/>
  <c r="AH7" i="19" s="1"/>
  <c r="AI7" i="19" s="1"/>
  <c r="AJ7" i="19" s="1"/>
  <c r="AF4" i="19"/>
  <c r="AG4" i="19" s="1"/>
  <c r="AH4" i="19" s="1"/>
  <c r="AI4" i="19" s="1"/>
  <c r="AJ4" i="19" s="1"/>
  <c r="AF3" i="19"/>
  <c r="AG3" i="19" s="1"/>
  <c r="AH3" i="19" s="1"/>
  <c r="AI3" i="19" s="1"/>
  <c r="AJ3" i="19" s="1"/>
  <c r="U31" i="1"/>
  <c r="U30" i="1"/>
  <c r="U29" i="1"/>
  <c r="U28" i="1"/>
  <c r="U27" i="1"/>
  <c r="U26" i="1"/>
  <c r="U25" i="1"/>
  <c r="U24" i="1"/>
  <c r="S14" i="1"/>
  <c r="U15" i="1"/>
  <c r="U16" i="1"/>
  <c r="U17" i="1"/>
  <c r="U18" i="1"/>
  <c r="U19" i="1"/>
  <c r="U20" i="1"/>
  <c r="U21" i="1"/>
  <c r="F12" i="1" l="1"/>
  <c r="F8" i="1"/>
  <c r="F6" i="1"/>
  <c r="F10" i="1"/>
  <c r="F4" i="1"/>
  <c r="F7" i="1"/>
  <c r="F5" i="1"/>
  <c r="F13" i="1"/>
  <c r="F9" i="1"/>
  <c r="F11" i="1"/>
  <c r="E4" i="1" l="1"/>
  <c r="G4" i="1"/>
  <c r="E8" i="1"/>
  <c r="I8" i="1"/>
  <c r="G8" i="1"/>
  <c r="E13" i="1"/>
  <c r="I13" i="1"/>
  <c r="G13" i="1"/>
  <c r="E9" i="1"/>
  <c r="G9" i="1"/>
  <c r="G5" i="1"/>
  <c r="E11" i="1"/>
  <c r="I11" i="1"/>
  <c r="G11" i="1"/>
  <c r="E7" i="1"/>
  <c r="I7" i="1"/>
  <c r="G7" i="1"/>
  <c r="E10" i="1"/>
  <c r="I10" i="1"/>
  <c r="G10" i="1"/>
  <c r="I5" i="1" l="1"/>
  <c r="I9" i="1"/>
  <c r="I4" i="1"/>
</calcChain>
</file>

<file path=xl/sharedStrings.xml><?xml version="1.0" encoding="utf-8"?>
<sst xmlns="http://schemas.openxmlformats.org/spreadsheetml/2006/main" count="7466" uniqueCount="2274">
  <si>
    <t>Rank</t>
  </si>
  <si>
    <t>Change</t>
  </si>
  <si>
    <t>Team</t>
  </si>
  <si>
    <t>Total</t>
  </si>
  <si>
    <t>Last Week</t>
  </si>
  <si>
    <t>Wins</t>
  </si>
  <si>
    <t>Major Wins</t>
  </si>
  <si>
    <t>-</t>
  </si>
  <si>
    <t>Bryce</t>
  </si>
  <si>
    <t>Beast</t>
  </si>
  <si>
    <t>Brent</t>
  </si>
  <si>
    <t>James</t>
  </si>
  <si>
    <t>Daniel</t>
  </si>
  <si>
    <t>Mrs. Beast</t>
  </si>
  <si>
    <t>Lawrence</t>
  </si>
  <si>
    <t>ROSTERS</t>
  </si>
  <si>
    <t>Players</t>
  </si>
  <si>
    <t>Starts</t>
  </si>
  <si>
    <t>Avg</t>
  </si>
  <si>
    <t>Season Total</t>
  </si>
  <si>
    <t>T1</t>
  </si>
  <si>
    <t>T2</t>
  </si>
  <si>
    <t>T3</t>
  </si>
  <si>
    <t>T4</t>
  </si>
  <si>
    <t>Wins:</t>
  </si>
  <si>
    <t>Top Tens:</t>
  </si>
  <si>
    <t>Points:</t>
  </si>
  <si>
    <t>TOURNAMENT AVERAGES</t>
  </si>
  <si>
    <t>Tournament (#)</t>
  </si>
  <si>
    <t>League Avg.</t>
  </si>
  <si>
    <t>W</t>
  </si>
  <si>
    <t>L</t>
  </si>
  <si>
    <t>T</t>
  </si>
  <si>
    <t>Winning %</t>
  </si>
  <si>
    <t>PLAYER</t>
  </si>
  <si>
    <t>TO PAR</t>
  </si>
  <si>
    <t>R1</t>
  </si>
  <si>
    <t>R2</t>
  </si>
  <si>
    <t>R3</t>
  </si>
  <si>
    <t>R4</t>
  </si>
  <si>
    <t>TOT</t>
  </si>
  <si>
    <t>EARNINGS</t>
  </si>
  <si>
    <t>FEDEX PTS</t>
  </si>
  <si>
    <t xml:space="preserve">TIER NUM = </t>
  </si>
  <si>
    <t>SCHEDULE AND SCORING</t>
  </si>
  <si>
    <t>SCHEDULE</t>
  </si>
  <si>
    <t>Scoring</t>
  </si>
  <si>
    <t>#</t>
  </si>
  <si>
    <t>Dates</t>
  </si>
  <si>
    <t>Name</t>
  </si>
  <si>
    <t>Tier</t>
  </si>
  <si>
    <t>#1</t>
  </si>
  <si>
    <t>#2</t>
  </si>
  <si>
    <t>#3</t>
  </si>
  <si>
    <t>#4</t>
  </si>
  <si>
    <t>1st</t>
  </si>
  <si>
    <t>Sony Open in Hawaii</t>
  </si>
  <si>
    <t>2nd</t>
  </si>
  <si>
    <t>3rd</t>
  </si>
  <si>
    <t>Farmers Insurance Open</t>
  </si>
  <si>
    <t>Waste Management Phoenix Open</t>
  </si>
  <si>
    <t>Top 10 (6-10)</t>
  </si>
  <si>
    <t>AT&amp;T Pebble Beach Pro-Am</t>
  </si>
  <si>
    <t>Top 15 (11-15)</t>
  </si>
  <si>
    <t>Top 25 (16-25)</t>
  </si>
  <si>
    <t>Top 50 (26-50)</t>
  </si>
  <si>
    <t>Arnold Palmer Invitational</t>
  </si>
  <si>
    <t>Roster Legend</t>
  </si>
  <si>
    <t>RBC Heritage</t>
  </si>
  <si>
    <t>PGA Championship</t>
  </si>
  <si>
    <t>Charles Schwab Challenge</t>
  </si>
  <si>
    <t>The Memorial Tournament</t>
  </si>
  <si>
    <t>U.S. Open</t>
  </si>
  <si>
    <t>Travelers Championship</t>
  </si>
  <si>
    <t>Rocket Mortgage Classic</t>
  </si>
  <si>
    <t>3M Open</t>
  </si>
  <si>
    <t>Wyndham Championship</t>
  </si>
  <si>
    <t>BMW Championship</t>
  </si>
  <si>
    <t>TRANSACTIONS</t>
  </si>
  <si>
    <t>Pickups</t>
  </si>
  <si>
    <t>Trades</t>
  </si>
  <si>
    <t>Date</t>
  </si>
  <si>
    <t>Player Dropped</t>
  </si>
  <si>
    <t>Player Added</t>
  </si>
  <si>
    <t>Team 1</t>
  </si>
  <si>
    <t>Assets From Team 1</t>
  </si>
  <si>
    <t>Team 2</t>
  </si>
  <si>
    <t>Assets From Team 2</t>
  </si>
  <si>
    <t>DRAFT RESULTS</t>
  </si>
  <si>
    <t>Round 1</t>
  </si>
  <si>
    <t>Team:</t>
  </si>
  <si>
    <t>Player Selected:</t>
  </si>
  <si>
    <t>Round 2</t>
  </si>
  <si>
    <t>Round 3</t>
  </si>
  <si>
    <t>Round 4</t>
  </si>
  <si>
    <t>Round 5</t>
  </si>
  <si>
    <t>Round 6</t>
  </si>
  <si>
    <t>Round 7</t>
  </si>
  <si>
    <t>Round 8</t>
  </si>
  <si>
    <t>Week=</t>
  </si>
  <si>
    <t>The American Express</t>
  </si>
  <si>
    <t>The Genesis Invitational</t>
  </si>
  <si>
    <t>Jon Rahm</t>
  </si>
  <si>
    <t>Dustin Johnson</t>
  </si>
  <si>
    <t>Jon Mark</t>
  </si>
  <si>
    <t>Valero Texas Open</t>
  </si>
  <si>
    <t>Zurich Classic of New Orleans</t>
  </si>
  <si>
    <t>Valspar Championship</t>
  </si>
  <si>
    <t>John Deere Classic</t>
  </si>
  <si>
    <t>The Open Championship</t>
  </si>
  <si>
    <t>Tour Championship</t>
  </si>
  <si>
    <t>USA</t>
  </si>
  <si>
    <t>NIR</t>
  </si>
  <si>
    <t>ESP</t>
  </si>
  <si>
    <t>ENG</t>
  </si>
  <si>
    <t>AUS</t>
  </si>
  <si>
    <t>LPGA</t>
  </si>
  <si>
    <t>KOR</t>
  </si>
  <si>
    <t>IRL</t>
  </si>
  <si>
    <t>MEX</t>
  </si>
  <si>
    <t>RSA</t>
  </si>
  <si>
    <t>CAN</t>
  </si>
  <si>
    <t>NOR</t>
  </si>
  <si>
    <t>JPN</t>
  </si>
  <si>
    <t>COL</t>
  </si>
  <si>
    <t>Players:</t>
  </si>
  <si>
    <t>LPGA ROSTERS</t>
  </si>
  <si>
    <t>DEN</t>
  </si>
  <si>
    <t>CHI</t>
  </si>
  <si>
    <t>FRA</t>
  </si>
  <si>
    <t>AUT</t>
  </si>
  <si>
    <t>SCO</t>
  </si>
  <si>
    <t>SWE</t>
  </si>
  <si>
    <t>FIN</t>
  </si>
  <si>
    <t>GER</t>
  </si>
  <si>
    <t>BEL</t>
  </si>
  <si>
    <t>THA</t>
  </si>
  <si>
    <t>SVK</t>
  </si>
  <si>
    <t>ITA</t>
  </si>
  <si>
    <t>NZL</t>
  </si>
  <si>
    <t>TPE</t>
  </si>
  <si>
    <t>ARG</t>
  </si>
  <si>
    <t>NED</t>
  </si>
  <si>
    <t>WAL</t>
  </si>
  <si>
    <t>CZE</t>
  </si>
  <si>
    <t>CHN</t>
  </si>
  <si>
    <t>POL</t>
  </si>
  <si>
    <t>MAS</t>
  </si>
  <si>
    <t>ZIM</t>
  </si>
  <si>
    <t>VEN</t>
  </si>
  <si>
    <t>IND</t>
  </si>
  <si>
    <t>BRA</t>
  </si>
  <si>
    <t>PHI</t>
  </si>
  <si>
    <t>POR</t>
  </si>
  <si>
    <t>SUI</t>
  </si>
  <si>
    <t>ISL</t>
  </si>
  <si>
    <t>INA</t>
  </si>
  <si>
    <t>SGP</t>
  </si>
  <si>
    <t>BAN</t>
  </si>
  <si>
    <t>Marc Hammer(Am)</t>
  </si>
  <si>
    <t>Daniel Sutton</t>
  </si>
  <si>
    <t>Matthew Millar</t>
  </si>
  <si>
    <t>Matt Atkins</t>
  </si>
  <si>
    <t>Luke Kwon</t>
  </si>
  <si>
    <t>Ethan Tracy</t>
  </si>
  <si>
    <t>Lee Chieh-po</t>
  </si>
  <si>
    <t>Scott Langley</t>
  </si>
  <si>
    <t>Huang Wenyi</t>
  </si>
  <si>
    <t>Ding Wenyi(Am)</t>
  </si>
  <si>
    <t>Jacob Bergeron</t>
  </si>
  <si>
    <t>Yeongsu Kim</t>
  </si>
  <si>
    <t>Emilio Puma Dominguez</t>
  </si>
  <si>
    <t>Andrew Svoboda</t>
  </si>
  <si>
    <t>David Langley</t>
  </si>
  <si>
    <t>Lars Keunen</t>
  </si>
  <si>
    <t>Ales Korinek</t>
  </si>
  <si>
    <t>Jason Smith</t>
  </si>
  <si>
    <t>Daniel Hillier</t>
  </si>
  <si>
    <t>Blayne Barber</t>
  </si>
  <si>
    <t>Rick Lamb</t>
  </si>
  <si>
    <t>Herman Loubser</t>
  </si>
  <si>
    <t>Kasidit Lepkurte</t>
  </si>
  <si>
    <t>Ben Eccles</t>
  </si>
  <si>
    <t>Motin Yeung</t>
  </si>
  <si>
    <t>HKG</t>
  </si>
  <si>
    <t>Matthew Spacey</t>
  </si>
  <si>
    <t>Harrison Endycott</t>
  </si>
  <si>
    <t>Tatsunori Nukaga</t>
  </si>
  <si>
    <t>Kyle McClatchie</t>
  </si>
  <si>
    <t>Daisuke Matsubara</t>
  </si>
  <si>
    <t>Aron Zemmer</t>
  </si>
  <si>
    <t>Ryan Blaum</t>
  </si>
  <si>
    <t>Niclas Weiland</t>
  </si>
  <si>
    <t>Jan Cafourek</t>
  </si>
  <si>
    <t>Vitor Lopes</t>
  </si>
  <si>
    <t>Cole Miller</t>
  </si>
  <si>
    <t>Junseok Lee</t>
  </si>
  <si>
    <t>Suttijet Kooratanapisan</t>
  </si>
  <si>
    <t>Harry Bateman</t>
  </si>
  <si>
    <t>Chinnarat Phadungsil</t>
  </si>
  <si>
    <t>David Skinns</t>
  </si>
  <si>
    <t>Yuvraj Singh Sandhu</t>
  </si>
  <si>
    <t>Kyle Barker</t>
  </si>
  <si>
    <t>Sungho Lee</t>
  </si>
  <si>
    <t>Estiaan Conradie</t>
  </si>
  <si>
    <t>Brady Watt</t>
  </si>
  <si>
    <t>Eric Sugimoto</t>
  </si>
  <si>
    <t>Xiao Bowen</t>
  </si>
  <si>
    <t>Janne Kaske</t>
  </si>
  <si>
    <t>Hennie O'Kennedy</t>
  </si>
  <si>
    <t>Abhinav Lohan</t>
  </si>
  <si>
    <t>Jason Froneman</t>
  </si>
  <si>
    <t>Oliver Gillberg</t>
  </si>
  <si>
    <t>Jonas Kolbing</t>
  </si>
  <si>
    <t>Mitch Waite</t>
  </si>
  <si>
    <t>Eduardo De la Riva</t>
  </si>
  <si>
    <t>Patrick Newcomb</t>
  </si>
  <si>
    <t>Justin Hueber</t>
  </si>
  <si>
    <t>Oscar Zetterwall</t>
  </si>
  <si>
    <t>Mithun Perera</t>
  </si>
  <si>
    <t>SRI</t>
  </si>
  <si>
    <t>Nicolai B Kristensen(May1992)</t>
  </si>
  <si>
    <t>Felix Mory</t>
  </si>
  <si>
    <t>Kade McBride</t>
  </si>
  <si>
    <t>Ricardo Gouveia</t>
  </si>
  <si>
    <t>Yoshitaka Takeya</t>
  </si>
  <si>
    <t>Drew Nesbitt</t>
  </si>
  <si>
    <t>Hung Chien-Yao</t>
  </si>
  <si>
    <t>Raul Pereda De La Huerta</t>
  </si>
  <si>
    <t>Vaughn Van Deventer</t>
  </si>
  <si>
    <t>Akshay Bhatia</t>
  </si>
  <si>
    <t>Daniel Gavins</t>
  </si>
  <si>
    <t>Tobias Ruth</t>
  </si>
  <si>
    <t>Mike Weir</t>
  </si>
  <si>
    <t>Gabriel Axell</t>
  </si>
  <si>
    <t>Daiki Imano</t>
  </si>
  <si>
    <t>Nick Bachem(Am)</t>
  </si>
  <si>
    <t>Boo Weekley</t>
  </si>
  <si>
    <t>Sam Robinson</t>
  </si>
  <si>
    <t>Mark Blakefield</t>
  </si>
  <si>
    <t>Blake Windred</t>
  </si>
  <si>
    <t>Richard McEvoy</t>
  </si>
  <si>
    <t>Aaron Wilkin</t>
  </si>
  <si>
    <t>Justin Warren</t>
  </si>
  <si>
    <t>Julien Quesne</t>
  </si>
  <si>
    <t>Gerhard Pepler</t>
  </si>
  <si>
    <t>Ryan Van Velzen(Am)</t>
  </si>
  <si>
    <t>Jaemin Hwang(Nov1986)</t>
  </si>
  <si>
    <t>Namchok Tantipokhakul</t>
  </si>
  <si>
    <t>Andres Gonzales</t>
  </si>
  <si>
    <t>Dongmin Lee</t>
  </si>
  <si>
    <t>Maxime Radureau</t>
  </si>
  <si>
    <t>Justin De Los Santos</t>
  </si>
  <si>
    <t>Julien De Poyen Bellisle</t>
  </si>
  <si>
    <t>Kevin Yuan</t>
  </si>
  <si>
    <t>Bradley Moore</t>
  </si>
  <si>
    <t>Brian Carlson</t>
  </si>
  <si>
    <t>Minjun Kim</t>
  </si>
  <si>
    <t>Andy Pope</t>
  </si>
  <si>
    <t>Martin Flores</t>
  </si>
  <si>
    <t>Marco Penge</t>
  </si>
  <si>
    <t>Nicolas Paez</t>
  </si>
  <si>
    <t>Om Prakash Chouhan</t>
  </si>
  <si>
    <t>Liang Wenchong</t>
  </si>
  <si>
    <t>Craig Ross</t>
  </si>
  <si>
    <t>Shae Wools Cobb</t>
  </si>
  <si>
    <t>Priyanshu Singh</t>
  </si>
  <si>
    <t>Tag Ridings</t>
  </si>
  <si>
    <t>Tomas Silva</t>
  </si>
  <si>
    <t>James Wilson(Mar1990)</t>
  </si>
  <si>
    <t>Panuwat Bulsombath</t>
  </si>
  <si>
    <t>Jamie Rutherford</t>
  </si>
  <si>
    <t>Lin Yung Lung</t>
  </si>
  <si>
    <t>Junhyeok Park</t>
  </si>
  <si>
    <t>Brody Martin</t>
  </si>
  <si>
    <t>Will Wilcox</t>
  </si>
  <si>
    <t>Derek Barron</t>
  </si>
  <si>
    <t>Youngwoong Kim</t>
  </si>
  <si>
    <t>Yuto Katsuragawa(Am)</t>
  </si>
  <si>
    <t>Mathiam Keyser</t>
  </si>
  <si>
    <t>Steve Allan</t>
  </si>
  <si>
    <t>Marcelo Rozo</t>
  </si>
  <si>
    <t>Andreas Gronkvist</t>
  </si>
  <si>
    <t>Konosuke Nakazato</t>
  </si>
  <si>
    <t>Takashi Iwamoto</t>
  </si>
  <si>
    <t>Brent Grant</t>
  </si>
  <si>
    <t>Ben Crane</t>
  </si>
  <si>
    <t>Ashton Turner</t>
  </si>
  <si>
    <t>Hannes Ronneblad</t>
  </si>
  <si>
    <t>Kevin Techakanokboon</t>
  </si>
  <si>
    <t>Davis Love III</t>
  </si>
  <si>
    <t>Tomas Guimaraes Bessa</t>
  </si>
  <si>
    <t>Timon Baltl</t>
  </si>
  <si>
    <t>Marthin Scheepers</t>
  </si>
  <si>
    <t>Jeonghyeob Hyun</t>
  </si>
  <si>
    <t>Billy Hurley III</t>
  </si>
  <si>
    <t>Santiago Gomez</t>
  </si>
  <si>
    <t>Jyoti Randhawa</t>
  </si>
  <si>
    <t>Per Langfors</t>
  </si>
  <si>
    <t>Coert Groenewald</t>
  </si>
  <si>
    <t>Ricky Barnes</t>
  </si>
  <si>
    <t>Yuta Kinoshita</t>
  </si>
  <si>
    <t>Shankar Das</t>
  </si>
  <si>
    <t>John Axelsen</t>
  </si>
  <si>
    <t>Kim Koivu</t>
  </si>
  <si>
    <t>Benjamin Follett-Smith</t>
  </si>
  <si>
    <t>Zach Wright</t>
  </si>
  <si>
    <t>KP Lin</t>
  </si>
  <si>
    <t>Nicholas Thompson</t>
  </si>
  <si>
    <t>Prayad Marksaeng</t>
  </si>
  <si>
    <t>Graeme Storm</t>
  </si>
  <si>
    <t>Lin Yuxin(Am)</t>
  </si>
  <si>
    <t>Joseph Lane</t>
  </si>
  <si>
    <t>Daisuke Yasumoto</t>
  </si>
  <si>
    <t>Linus Vaisanen</t>
  </si>
  <si>
    <t>Alexander Kopp</t>
  </si>
  <si>
    <t>Byungjun Kim</t>
  </si>
  <si>
    <t>Taylor MacDonald</t>
  </si>
  <si>
    <t>Dominic Foos</t>
  </si>
  <si>
    <t>Manu Gandas</t>
  </si>
  <si>
    <t>Takanori Konishi</t>
  </si>
  <si>
    <t>Arnond Vongvanij</t>
  </si>
  <si>
    <t>Thomas Bjorn</t>
  </si>
  <si>
    <t>David Heinzinger</t>
  </si>
  <si>
    <t>Pontus Widegren</t>
  </si>
  <si>
    <t>Soonsang Hong</t>
  </si>
  <si>
    <t>Louis Albertse</t>
  </si>
  <si>
    <t>Jakraphan Premsirigorn</t>
  </si>
  <si>
    <t>Billy Hemstock</t>
  </si>
  <si>
    <t>Adam Blomme</t>
  </si>
  <si>
    <t>Changwon Han</t>
  </si>
  <si>
    <t>Dylan Boshart</t>
  </si>
  <si>
    <t>Darren Walkley</t>
  </si>
  <si>
    <t>Chris Naegel</t>
  </si>
  <si>
    <t>Blake Proverbs</t>
  </si>
  <si>
    <t>Brady Schnell</t>
  </si>
  <si>
    <t>Reinhardt Blaauw</t>
  </si>
  <si>
    <t>Byron Coetzee</t>
  </si>
  <si>
    <t>Tommy Cocha</t>
  </si>
  <si>
    <t>Yuto Soeda</t>
  </si>
  <si>
    <t>Cody Gribble</t>
  </si>
  <si>
    <t>Nick Cullen</t>
  </si>
  <si>
    <t>Poosit Supupramai</t>
  </si>
  <si>
    <t>Fredrik Nilehn</t>
  </si>
  <si>
    <t>Haydn Barron(Am)</t>
  </si>
  <si>
    <t>Chris Wiatr</t>
  </si>
  <si>
    <t>Garrett May</t>
  </si>
  <si>
    <t>Bradley Neil</t>
  </si>
  <si>
    <t>Steven Jeffress</t>
  </si>
  <si>
    <t>Carl Pettersson</t>
  </si>
  <si>
    <t>Adam Blyth</t>
  </si>
  <si>
    <t>Peradol Panyathanasedh</t>
  </si>
  <si>
    <t>Chen Guxin</t>
  </si>
  <si>
    <t>Sebastian Vazquez</t>
  </si>
  <si>
    <t>M. Sasidaran</t>
  </si>
  <si>
    <t>Jim Knous</t>
  </si>
  <si>
    <t>Thaya Limpipolpaibul</t>
  </si>
  <si>
    <t>Nicolas Echavarria</t>
  </si>
  <si>
    <t>Wang Wei Hsuan</t>
  </si>
  <si>
    <t>Michael Bullen</t>
  </si>
  <si>
    <t>Toru Nakajima</t>
  </si>
  <si>
    <t>Seunghwan Jung</t>
  </si>
  <si>
    <t>Sanghun Shin</t>
  </si>
  <si>
    <t>Chase Koepka</t>
  </si>
  <si>
    <t>Sam Fidone</t>
  </si>
  <si>
    <t>Filippo Bergamaschi</t>
  </si>
  <si>
    <t>Stanislas Gautier</t>
  </si>
  <si>
    <t>Angel Hidalgo Portillo</t>
  </si>
  <si>
    <t>Bailey Gill</t>
  </si>
  <si>
    <t>Nicolai Tinning</t>
  </si>
  <si>
    <t>Sanjeev L Kumar</t>
  </si>
  <si>
    <t>Scott Wolfes</t>
  </si>
  <si>
    <t>Jordan Zunic</t>
  </si>
  <si>
    <t>Jediah Morgan(Am)</t>
  </si>
  <si>
    <t>JJ Senekal</t>
  </si>
  <si>
    <t>Michael Hirmer</t>
  </si>
  <si>
    <t>Jonathan Agren</t>
  </si>
  <si>
    <t>Chad Campbell</t>
  </si>
  <si>
    <t>Mark F Haastrup</t>
  </si>
  <si>
    <t>Lukas Euler</t>
  </si>
  <si>
    <t>Byron Meth</t>
  </si>
  <si>
    <t>Hubert Tisserand</t>
  </si>
  <si>
    <t>Xavier Poncelet</t>
  </si>
  <si>
    <t>Michael Arnaud</t>
  </si>
  <si>
    <t>Ryuta Kamimura</t>
  </si>
  <si>
    <t>John Pak(Am)</t>
  </si>
  <si>
    <t>Scott Henry</t>
  </si>
  <si>
    <t>Masaru Takahashi</t>
  </si>
  <si>
    <t>Brad Gehl</t>
  </si>
  <si>
    <t>Peter Lonard</t>
  </si>
  <si>
    <t>Sungmin Cho</t>
  </si>
  <si>
    <t>Clodomiro Carranza</t>
  </si>
  <si>
    <t>Shun Yat Hak</t>
  </si>
  <si>
    <t>Ryan Campbell</t>
  </si>
  <si>
    <t>Henry Simpson</t>
  </si>
  <si>
    <t>Abhijit Singh Chadha</t>
  </si>
  <si>
    <t>Casey O'Toole</t>
  </si>
  <si>
    <t>Finn Fleer</t>
  </si>
  <si>
    <t>Zhou Guowu</t>
  </si>
  <si>
    <t>Richard Hoey</t>
  </si>
  <si>
    <t>Sangpil Yoon</t>
  </si>
  <si>
    <t>Callum Mowat</t>
  </si>
  <si>
    <t>Conner Godsey</t>
  </si>
  <si>
    <t>Curtis Knipes</t>
  </si>
  <si>
    <t>Lawry Flynn(Am)</t>
  </si>
  <si>
    <t>Jack McDonald</t>
  </si>
  <si>
    <t>Tomohiro Kondo</t>
  </si>
  <si>
    <t>Andreas Lunding</t>
  </si>
  <si>
    <t>James Driscoll</t>
  </si>
  <si>
    <t>Anil Bajrang Mane</t>
  </si>
  <si>
    <t>Sam Lee</t>
  </si>
  <si>
    <t>FIJ</t>
  </si>
  <si>
    <t>Sam Chien</t>
  </si>
  <si>
    <t>Naraajie E Ramadhan Putra(Am)</t>
  </si>
  <si>
    <t>Alex Wrigley</t>
  </si>
  <si>
    <t>Bryan Bigley</t>
  </si>
  <si>
    <t>Eunshin Park</t>
  </si>
  <si>
    <t>Jakob van de Flierdt</t>
  </si>
  <si>
    <t>Stuart Manley</t>
  </si>
  <si>
    <t>Chase Hanna</t>
  </si>
  <si>
    <t>Yusaku Miyazato</t>
  </si>
  <si>
    <t>Linus Lilliedahl</t>
  </si>
  <si>
    <t>Matt Saulez</t>
  </si>
  <si>
    <t>Bryden MacPherson</t>
  </si>
  <si>
    <t>Tirawat Kaewsiribandit</t>
  </si>
  <si>
    <t>Hongtaek Kim</t>
  </si>
  <si>
    <t>John Parry</t>
  </si>
  <si>
    <t>Gustav Adell</t>
  </si>
  <si>
    <t>Neil Fenwick</t>
  </si>
  <si>
    <t>David Carey</t>
  </si>
  <si>
    <t>James Anstiss</t>
  </si>
  <si>
    <t>Peter Cooke</t>
  </si>
  <si>
    <t>Eric Steger</t>
  </si>
  <si>
    <t>Vijay Singh</t>
  </si>
  <si>
    <t>Paul Elissalde</t>
  </si>
  <si>
    <t>Naoto Takayanagi</t>
  </si>
  <si>
    <t>Dongmin Kim</t>
  </si>
  <si>
    <t>Thomas Sloman</t>
  </si>
  <si>
    <t>Sahith Theegala</t>
  </si>
  <si>
    <t>Brad Brunner</t>
  </si>
  <si>
    <t>Espen Kofstad</t>
  </si>
  <si>
    <t>John Augenstein</t>
  </si>
  <si>
    <t>Lloyd Jefferson Go</t>
  </si>
  <si>
    <t>David Lingmerth</t>
  </si>
  <si>
    <t>Arjun Atwal</t>
  </si>
  <si>
    <t>Yushi Ito</t>
  </si>
  <si>
    <t>Kyler Dunkle</t>
  </si>
  <si>
    <t>Max Albertus</t>
  </si>
  <si>
    <t>Manuel Elvira</t>
  </si>
  <si>
    <t>Steve LeBrun</t>
  </si>
  <si>
    <t>Daeng Abd Rahman Abd Aziz</t>
  </si>
  <si>
    <t>Wade Binfield</t>
  </si>
  <si>
    <t>Philipp Matlari(Am)</t>
  </si>
  <si>
    <t>Theunis Bezuidenhout</t>
  </si>
  <si>
    <t>Harry Konig</t>
  </si>
  <si>
    <t>Heinrich Bruiners</t>
  </si>
  <si>
    <t>Luo Xuewen</t>
  </si>
  <si>
    <t>Christopher Maclean</t>
  </si>
  <si>
    <t>Christian Braeunig</t>
  </si>
  <si>
    <t>Jesper Kennegard</t>
  </si>
  <si>
    <t>Patrick Cover</t>
  </si>
  <si>
    <t>Yashas M S Chandra</t>
  </si>
  <si>
    <t>Victor Riu</t>
  </si>
  <si>
    <t>Trevor Cone</t>
  </si>
  <si>
    <t>Alexandre Petit</t>
  </si>
  <si>
    <t>Sattaya Supupramai</t>
  </si>
  <si>
    <t>Taisei Yamada</t>
  </si>
  <si>
    <t>Shota Seki</t>
  </si>
  <si>
    <t>Alex Wennstam</t>
  </si>
  <si>
    <t>Calum Fyfe</t>
  </si>
  <si>
    <t>Mark Baldwin</t>
  </si>
  <si>
    <t>James Ross</t>
  </si>
  <si>
    <t>Victor Theandersson</t>
  </si>
  <si>
    <t>Albert Venter</t>
  </si>
  <si>
    <t>Leon Breimer(Am)</t>
  </si>
  <si>
    <t>Cristobal Del Solar</t>
  </si>
  <si>
    <t>Tseng Tzu Hsuan</t>
  </si>
  <si>
    <t>Ankur Chadha</t>
  </si>
  <si>
    <t>Chapchai Nirat</t>
  </si>
  <si>
    <t>Niall Kearney</t>
  </si>
  <si>
    <t>Simon Forsstrom</t>
  </si>
  <si>
    <t>Kyle Mueller</t>
  </si>
  <si>
    <t>Keagan Thomas</t>
  </si>
  <si>
    <t>Robin Dawson</t>
  </si>
  <si>
    <t>Giulio Castagnara</t>
  </si>
  <si>
    <t>Felix Palson</t>
  </si>
  <si>
    <t>Travis Trace</t>
  </si>
  <si>
    <t>William Nygard</t>
  </si>
  <si>
    <t>Thitiphun Chuayprakong</t>
  </si>
  <si>
    <t>Shunya Takeyasu</t>
  </si>
  <si>
    <t>Panuwat Muenlek</t>
  </si>
  <si>
    <t>Edouard Dubois</t>
  </si>
  <si>
    <t>Raphael De Sousa</t>
  </si>
  <si>
    <t>Leonard Bem</t>
  </si>
  <si>
    <t>Mario Beltran</t>
  </si>
  <si>
    <t>Kenta Endo</t>
  </si>
  <si>
    <t>Robert Dinwiddie</t>
  </si>
  <si>
    <t>Christiaan Burke(Am)</t>
  </si>
  <si>
    <t>Sean Towndrow</t>
  </si>
  <si>
    <t>Shohei Hasegawa</t>
  </si>
  <si>
    <t>Rodrigo Lee</t>
  </si>
  <si>
    <t>Josh Hill(Apr2004)(Am)</t>
  </si>
  <si>
    <t>Edward Loar</t>
  </si>
  <si>
    <t>Tadahiro Takayama</t>
  </si>
  <si>
    <t>Riekus Nortje</t>
  </si>
  <si>
    <t>Takashi Ogiso</t>
  </si>
  <si>
    <t>Noah Norton(Am)</t>
  </si>
  <si>
    <t>Kyeongjun Lee</t>
  </si>
  <si>
    <t>Kyle Wilshire</t>
  </si>
  <si>
    <t>Michael Perras</t>
  </si>
  <si>
    <t>Steve Marino</t>
  </si>
  <si>
    <t>Kyubeom Jun</t>
  </si>
  <si>
    <t>Seungtaek Lee</t>
  </si>
  <si>
    <t>Allister de Kock</t>
  </si>
  <si>
    <t>Gonzalo Vicente Elena</t>
  </si>
  <si>
    <t>Brian Richey</t>
  </si>
  <si>
    <t>Divyanshu Bajaj</t>
  </si>
  <si>
    <t>Rhys West</t>
  </si>
  <si>
    <t>Md Zamal Hossain Mollah</t>
  </si>
  <si>
    <t>Ippei Koike</t>
  </si>
  <si>
    <t>Woohyun Kim</t>
  </si>
  <si>
    <t>Andres Echavarria</t>
  </si>
  <si>
    <t>Robin Williams(Am)</t>
  </si>
  <si>
    <t>Robert S Karlsson</t>
  </si>
  <si>
    <t>Danny Walker</t>
  </si>
  <si>
    <t>Guan Tianlang</t>
  </si>
  <si>
    <t>Su Dong</t>
  </si>
  <si>
    <t>Brad Schneider</t>
  </si>
  <si>
    <t>Joshua Lee</t>
  </si>
  <si>
    <t>Ryan Evans</t>
  </si>
  <si>
    <t>Thomas Aiken</t>
  </si>
  <si>
    <t>Lu Wei-chih</t>
  </si>
  <si>
    <t>Dongseop Maeng</t>
  </si>
  <si>
    <t>Samuel Cyr</t>
  </si>
  <si>
    <t>Peter Campbell</t>
  </si>
  <si>
    <t>C. Muniyappa</t>
  </si>
  <si>
    <t>Chiragh Kumar</t>
  </si>
  <si>
    <t>Mark Brown</t>
  </si>
  <si>
    <t>Dylan Mostert</t>
  </si>
  <si>
    <t>Amir Nazrin</t>
  </si>
  <si>
    <t>Luke Joy</t>
  </si>
  <si>
    <t>Masanori Kobayashi</t>
  </si>
  <si>
    <t>Matt Ryan</t>
  </si>
  <si>
    <t>Vitek Novak(Am)</t>
  </si>
  <si>
    <t>Kazuma Kobori(Am)</t>
  </si>
  <si>
    <t>Andre Nel</t>
  </si>
  <si>
    <t>Florian Fritsch</t>
  </si>
  <si>
    <t>Werner Deyzel(Am)</t>
  </si>
  <si>
    <t>Albin Tiden</t>
  </si>
  <si>
    <t>Jinsung Kim(Dec1989)</t>
  </si>
  <si>
    <t>Changgi Lee</t>
  </si>
  <si>
    <t>Romain Guillon</t>
  </si>
  <si>
    <t>Axel Boasson</t>
  </si>
  <si>
    <t>Garrett Osborn</t>
  </si>
  <si>
    <t>Gregory Molteni</t>
  </si>
  <si>
    <t>Koichi Kitamura</t>
  </si>
  <si>
    <t>Sungho Yun</t>
  </si>
  <si>
    <t>Nadaraja Thangaraja</t>
  </si>
  <si>
    <t>Jack Floydd</t>
  </si>
  <si>
    <t>Garth Mulroy</t>
  </si>
  <si>
    <t>Thomas Elissalde</t>
  </si>
  <si>
    <t>Sebastien Gandon</t>
  </si>
  <si>
    <t>Heungchol Joo</t>
  </si>
  <si>
    <t>J.J. Henry</t>
  </si>
  <si>
    <t>Taichi Teshima</t>
  </si>
  <si>
    <t>Ryan Chisnall</t>
  </si>
  <si>
    <t>Romain Vallaeys</t>
  </si>
  <si>
    <t>Kuang Yang(Am)</t>
  </si>
  <si>
    <t>Syed Saqib Ahmed</t>
  </si>
  <si>
    <t>Peetie Van der Merwe</t>
  </si>
  <si>
    <t>Trevor Immelman</t>
  </si>
  <si>
    <t>Danny Chia</t>
  </si>
  <si>
    <t>Suzuchiyo Ishida</t>
  </si>
  <si>
    <t>Kosuke Sunagawa(am)</t>
  </si>
  <si>
    <t>Ryo Katsumata</t>
  </si>
  <si>
    <t>Franck Daux</t>
  </si>
  <si>
    <t>Luke Brown(June1998)</t>
  </si>
  <si>
    <t>Blake Sattler</t>
  </si>
  <si>
    <t>Dominik Pietzsch</t>
  </si>
  <si>
    <t>Jonathan Goth-Rasmussen</t>
  </si>
  <si>
    <t>Russell Budd</t>
  </si>
  <si>
    <t>Ryan Snouffer</t>
  </si>
  <si>
    <t>Nathan Barbieri(Am)</t>
  </si>
  <si>
    <t>Ian Holt</t>
  </si>
  <si>
    <t>Warwick Purchase(Am)</t>
  </si>
  <si>
    <t>Conrad Shindler</t>
  </si>
  <si>
    <t>Jacob Glennemo</t>
  </si>
  <si>
    <t>Jamie Dick</t>
  </si>
  <si>
    <t>Natthaphat Harnchokchaiskul</t>
  </si>
  <si>
    <t>Chris Thompson</t>
  </si>
  <si>
    <t>Runchanapong Youprayong(Am)</t>
  </si>
  <si>
    <t>Othmane Raouzi</t>
  </si>
  <si>
    <t>MAR</t>
  </si>
  <si>
    <t>Yannik Emmert</t>
  </si>
  <si>
    <t>Conor O'Neil</t>
  </si>
  <si>
    <t>Chris Robb</t>
  </si>
  <si>
    <t>Paul Boshoff</t>
  </si>
  <si>
    <t>R Mari Muthu</t>
  </si>
  <si>
    <t>Maxwell McCardle</t>
  </si>
  <si>
    <t>Daisuke Kataoka</t>
  </si>
  <si>
    <t>Jonghark Kim</t>
  </si>
  <si>
    <t>Benedict Staben</t>
  </si>
  <si>
    <t>Cameron Moralee</t>
  </si>
  <si>
    <t>Ivan Cantero Gutierrez</t>
  </si>
  <si>
    <t>Alexander Yang(Am)</t>
  </si>
  <si>
    <t>Honey Baisoya</t>
  </si>
  <si>
    <t>Timothy Madigan</t>
  </si>
  <si>
    <t>Andrew Scrimshaw</t>
  </si>
  <si>
    <t>Nicholas Poppleton</t>
  </si>
  <si>
    <t>Christopher Wood</t>
  </si>
  <si>
    <t>Madalitso Muthiya</t>
  </si>
  <si>
    <t>ZAM</t>
  </si>
  <si>
    <t>Matt Stieger</t>
  </si>
  <si>
    <t>Sean Walsh</t>
  </si>
  <si>
    <t>William Cannon</t>
  </si>
  <si>
    <t>Shahriffudin Ariffin</t>
  </si>
  <si>
    <t>James Nicholas</t>
  </si>
  <si>
    <t>Tyrone van Aswegen</t>
  </si>
  <si>
    <t>Jonas Carlson</t>
  </si>
  <si>
    <t>Takuya Higa</t>
  </si>
  <si>
    <t>Chris Cannon</t>
  </si>
  <si>
    <t>John Merrick</t>
  </si>
  <si>
    <t>Dylan Naidoo</t>
  </si>
  <si>
    <t>Antti Ahokas</t>
  </si>
  <si>
    <t>David Howell</t>
  </si>
  <si>
    <t>Vikrant Chopra</t>
  </si>
  <si>
    <t>Gaurav Pratap Singh</t>
  </si>
  <si>
    <t>Andy Zhang</t>
  </si>
  <si>
    <t xml:space="preserve">Ahoua Arnaud </t>
  </si>
  <si>
    <t>Mathias Gladbjerg</t>
  </si>
  <si>
    <t>Li Linqiang(Am)</t>
  </si>
  <si>
    <t>Jack Trent(Am)</t>
  </si>
  <si>
    <t>Daniel Gaunt</t>
  </si>
  <si>
    <t>Braden Becker</t>
  </si>
  <si>
    <t>Sam Gillis</t>
  </si>
  <si>
    <t>Edgar Catherine</t>
  </si>
  <si>
    <t>Magnus A Carlsson</t>
  </si>
  <si>
    <t>Morgan Hoffmann</t>
  </si>
  <si>
    <t>Thanyakon Khrongpha</t>
  </si>
  <si>
    <t>Joonhyeong Jeon</t>
  </si>
  <si>
    <t>Benjamin David</t>
  </si>
  <si>
    <t>Benjamin Wheeler</t>
  </si>
  <si>
    <t>Erwan Vielledent</t>
  </si>
  <si>
    <t>Joseph Winslow</t>
  </si>
  <si>
    <t>Eric McCardle</t>
  </si>
  <si>
    <t>Daniel Nisbet</t>
  </si>
  <si>
    <t>Jose Toledo</t>
  </si>
  <si>
    <t>GUA</t>
  </si>
  <si>
    <t>William Register</t>
  </si>
  <si>
    <t>Nathan Kimsey</t>
  </si>
  <si>
    <t>Poonnavich Hirayama</t>
  </si>
  <si>
    <t>Tim Rice</t>
  </si>
  <si>
    <t>Yuki Kono</t>
  </si>
  <si>
    <t>Kosuke Suzuki(Am)</t>
  </si>
  <si>
    <t>Matthew Negri</t>
  </si>
  <si>
    <t>Andrew Yun</t>
  </si>
  <si>
    <t>Breyten Meyer</t>
  </si>
  <si>
    <t>Oliver Goss</t>
  </si>
  <si>
    <t>Zhang Jin</t>
  </si>
  <si>
    <t>Michael Kok</t>
  </si>
  <si>
    <t>Llewellyn Booysen</t>
  </si>
  <si>
    <t>Cameron John</t>
  </si>
  <si>
    <t>Horacio Leon</t>
  </si>
  <si>
    <t>Joshua Grenville-Wood</t>
  </si>
  <si>
    <t>Sushi Ishigaki</t>
  </si>
  <si>
    <t>Poom Pattaropong</t>
  </si>
  <si>
    <t>Alex Weiss</t>
  </si>
  <si>
    <t>Seukhyun Baek</t>
  </si>
  <si>
    <t>Christian Baech Christensen</t>
  </si>
  <si>
    <t>Estanislao Goya</t>
  </si>
  <si>
    <t>Lukas Michel(Am)</t>
  </si>
  <si>
    <t>James Sharp</t>
  </si>
  <si>
    <t>Jeremy Paul</t>
  </si>
  <si>
    <t>Seve Benson</t>
  </si>
  <si>
    <t>Sukree Othman</t>
  </si>
  <si>
    <t>Jay Choi</t>
  </si>
  <si>
    <t>Yuto Katsumata</t>
  </si>
  <si>
    <t>Sho Nagasawa(Sept1994)</t>
  </si>
  <si>
    <t>Junya Kameshiro</t>
  </si>
  <si>
    <t>Daniel Berna Manzanares</t>
  </si>
  <si>
    <t>Alasdair Plumb</t>
  </si>
  <si>
    <t>Myles Creighton</t>
  </si>
  <si>
    <t>Jiho Yang</t>
  </si>
  <si>
    <t>Youngjea Byun</t>
  </si>
  <si>
    <t>Seungbo Jang</t>
  </si>
  <si>
    <t>Freddie Jacobson(Sept1974)</t>
  </si>
  <si>
    <t>Jean-Baptiste Gonnet</t>
  </si>
  <si>
    <t>Christopher O'Neill</t>
  </si>
  <si>
    <t>Fumihiro Ebine</t>
  </si>
  <si>
    <t>Matt Gilchrest</t>
  </si>
  <si>
    <t>Robert Garrigus</t>
  </si>
  <si>
    <t>Shunsuke Otani</t>
  </si>
  <si>
    <t>Takashi Hirukawa</t>
  </si>
  <si>
    <t>Sarun Sirithon</t>
  </si>
  <si>
    <t>Lyle Rowe</t>
  </si>
  <si>
    <t>Martin Ovesen</t>
  </si>
  <si>
    <t>Jack Wilson</t>
  </si>
  <si>
    <t>David Micheluzzi</t>
  </si>
  <si>
    <t>Matthew Campbell</t>
  </si>
  <si>
    <t>Ryann Ree</t>
  </si>
  <si>
    <t>Azuma Yano</t>
  </si>
  <si>
    <t>Spencer Levin</t>
  </si>
  <si>
    <t>Ryan Harmer</t>
  </si>
  <si>
    <t>Parathakorn Suyasri(Am)</t>
  </si>
  <si>
    <t>Warun Ieamgaew</t>
  </si>
  <si>
    <t>Pierre Junior Verlaar</t>
  </si>
  <si>
    <t>Byungmin Cho</t>
  </si>
  <si>
    <t>Scott Strange</t>
  </si>
  <si>
    <t>Nicolo Galletti</t>
  </si>
  <si>
    <t>Blake Collyer</t>
  </si>
  <si>
    <t>Jannik De Bruyn(Am)</t>
  </si>
  <si>
    <t>Justin Quiban</t>
  </si>
  <si>
    <t>Adam Bland</t>
  </si>
  <si>
    <t>Nitithorn Thippong</t>
  </si>
  <si>
    <t>Yuki Kitagawa</t>
  </si>
  <si>
    <t>Brett Stegmaier</t>
  </si>
  <si>
    <t>Samuel Eaves</t>
  </si>
  <si>
    <t>Morten Orum Madsen</t>
  </si>
  <si>
    <t>Maximiliano Godoy</t>
  </si>
  <si>
    <t>Natipong Srithong</t>
  </si>
  <si>
    <t>Kevin Duncan</t>
  </si>
  <si>
    <t>Kisang Lee</t>
  </si>
  <si>
    <t>Mathieu Decottignies Lafon</t>
  </si>
  <si>
    <t>Julian Kunzenbacher</t>
  </si>
  <si>
    <t>Josh Armstrong(Am)</t>
  </si>
  <si>
    <t>Ruaidhri McGee</t>
  </si>
  <si>
    <t>Luca Cianchetti</t>
  </si>
  <si>
    <t>Juran Dreyer</t>
  </si>
  <si>
    <t>Ben Amor</t>
  </si>
  <si>
    <t>Shergo Kurdi(Am)</t>
  </si>
  <si>
    <t>JOR</t>
  </si>
  <si>
    <t>Wolmer Murillo</t>
  </si>
  <si>
    <t>Shane Smith</t>
  </si>
  <si>
    <t>Michele Ortolani</t>
  </si>
  <si>
    <t>James Allenby</t>
  </si>
  <si>
    <t>Gustavo Silva</t>
  </si>
  <si>
    <t>Yeh Yu-Chen</t>
  </si>
  <si>
    <t>Antoine Schwartz</t>
  </si>
  <si>
    <t>CJ du Plessis</t>
  </si>
  <si>
    <t>Robert Hogan</t>
  </si>
  <si>
    <t>Zack Fischer</t>
  </si>
  <si>
    <t>Abhishek Jha</t>
  </si>
  <si>
    <t>Thomas Linard</t>
  </si>
  <si>
    <t>Nick McCarthy</t>
  </si>
  <si>
    <t>Daniel Miernicki</t>
  </si>
  <si>
    <t>Sean Einhaus</t>
  </si>
  <si>
    <t>Matias Honkala</t>
  </si>
  <si>
    <t>Martin Granstad</t>
  </si>
  <si>
    <t>Ryan Cairns</t>
  </si>
  <si>
    <t>Shinichi Mizuno</t>
  </si>
  <si>
    <t>Derek Fathauer</t>
  </si>
  <si>
    <t>Oscar Fraustro</t>
  </si>
  <si>
    <t>Jungho Yoon</t>
  </si>
  <si>
    <t>Arthur Ameil Planchin</t>
  </si>
  <si>
    <t>Zach Cabra</t>
  </si>
  <si>
    <t>Colt Knost</t>
  </si>
  <si>
    <t>Angad Cheema</t>
  </si>
  <si>
    <t>Smylie Kaufman</t>
  </si>
  <si>
    <t>Kieran Cantley</t>
  </si>
  <si>
    <t>Matthew HungHai Cheung</t>
  </si>
  <si>
    <t>Niklas Regner(Am)</t>
  </si>
  <si>
    <t>Greg Snow</t>
  </si>
  <si>
    <t>KEN</t>
  </si>
  <si>
    <t>Hinrich Arkenau</t>
  </si>
  <si>
    <t>Nicolai Nohr Madsen</t>
  </si>
  <si>
    <t>Ben Hutchinson</t>
  </si>
  <si>
    <t>David Borda Antonana</t>
  </si>
  <si>
    <t>Chris Hanson</t>
  </si>
  <si>
    <t>Karl Ochse</t>
  </si>
  <si>
    <t>David Smail</t>
  </si>
  <si>
    <t>Peter Wilson</t>
  </si>
  <si>
    <t>Masamichi Uehira</t>
  </si>
  <si>
    <t>Nicolas Platret</t>
  </si>
  <si>
    <t>Yurav Premlall(Am)</t>
  </si>
  <si>
    <t>Bradley Bawden</t>
  </si>
  <si>
    <t>Gareth Paddison</t>
  </si>
  <si>
    <t>Davis Thompson(Am)</t>
  </si>
  <si>
    <t>Conor Purcell</t>
  </si>
  <si>
    <t>Taichi Kimura(Am)</t>
  </si>
  <si>
    <t>Peter Hanson</t>
  </si>
  <si>
    <t>Hunter Mahan</t>
  </si>
  <si>
    <t>Masamichi Ito</t>
  </si>
  <si>
    <t>Clement Berardo</t>
  </si>
  <si>
    <t>Thabiso Ngcobo</t>
  </si>
  <si>
    <t>Malcolm Kokocinski</t>
  </si>
  <si>
    <t>Victor Lange</t>
  </si>
  <si>
    <t>Blair Hamilton</t>
  </si>
  <si>
    <t>Jimmy Gunn</t>
  </si>
  <si>
    <t>Samuel Stevens</t>
  </si>
  <si>
    <t>Lukas Lipold</t>
  </si>
  <si>
    <t>Yin Yongxuan</t>
  </si>
  <si>
    <t>Luca Galliano</t>
  </si>
  <si>
    <t>Yassine Touhami</t>
  </si>
  <si>
    <t>Yuta Uetake</t>
  </si>
  <si>
    <t>Paul Imondi</t>
  </si>
  <si>
    <t>Pierre Pineau</t>
  </si>
  <si>
    <t>Rattanon Wannasrichan</t>
  </si>
  <si>
    <t>Manuel Trappel</t>
  </si>
  <si>
    <t>Andre De Decker</t>
  </si>
  <si>
    <t>Mark Williams</t>
  </si>
  <si>
    <t>Casey Jarvis(Am)</t>
  </si>
  <si>
    <t>Paul McKechnie</t>
  </si>
  <si>
    <t>Mathias Eggenberger</t>
  </si>
  <si>
    <t>Petter Mikalsen</t>
  </si>
  <si>
    <t>Ilhwan Park</t>
  </si>
  <si>
    <t>Michael Johnson</t>
  </si>
  <si>
    <t>Brett Munson</t>
  </si>
  <si>
    <t>Lin Wen-Ko</t>
  </si>
  <si>
    <t>Oliver Clarke</t>
  </si>
  <si>
    <t>Taewoo Kim(Jan1993)</t>
  </si>
  <si>
    <t>Matt Killen</t>
  </si>
  <si>
    <t>Akshay Neranjen(Am)</t>
  </si>
  <si>
    <t>David Oh</t>
  </si>
  <si>
    <t>Kapil Kumar</t>
  </si>
  <si>
    <t>Elvis Smylie(Am)</t>
  </si>
  <si>
    <t>Alvaro Jose Arizabaleta</t>
  </si>
  <si>
    <t>Rafael Becker</t>
  </si>
  <si>
    <t>Borja Virto Astudillo</t>
  </si>
  <si>
    <t>Sam Brazel</t>
  </si>
  <si>
    <t>Adam Chapman</t>
  </si>
  <si>
    <t>Anthony Maccaglia</t>
  </si>
  <si>
    <t>Hangu Lee</t>
  </si>
  <si>
    <t>Niall Turner</t>
  </si>
  <si>
    <t>Robbie Busher</t>
  </si>
  <si>
    <t>Adam Burdett</t>
  </si>
  <si>
    <t>Jordan Mullaney(Dec1993)</t>
  </si>
  <si>
    <t>Titch Moore</t>
  </si>
  <si>
    <t>Borworn Chaisri</t>
  </si>
  <si>
    <t>Nicholas Latimer</t>
  </si>
  <si>
    <t>Doeun An</t>
  </si>
  <si>
    <t>Petr Hruby(Am)</t>
  </si>
  <si>
    <t>Teemu Putkonen</t>
  </si>
  <si>
    <t>Andrew Van der Knaap</t>
  </si>
  <si>
    <t>Arjun Prasad</t>
  </si>
  <si>
    <t>Jacques de Villiers</t>
  </si>
  <si>
    <t>Jyouji Nakamura</t>
  </si>
  <si>
    <t>Felix Schulz</t>
  </si>
  <si>
    <t>David Gazzolo</t>
  </si>
  <si>
    <t>Brad Miller</t>
  </si>
  <si>
    <t>Jaewon Lee(Nov1998)</t>
  </si>
  <si>
    <t>Maximilian Walz</t>
  </si>
  <si>
    <t>Oliver Suhr</t>
  </si>
  <si>
    <t>Rafael Echenique</t>
  </si>
  <si>
    <t>David Toms</t>
  </si>
  <si>
    <t>Chris Wood</t>
  </si>
  <si>
    <t>Hyowon Park</t>
  </si>
  <si>
    <t>Ben Campbell</t>
  </si>
  <si>
    <t>Steven Ihm</t>
  </si>
  <si>
    <t>James Adams</t>
  </si>
  <si>
    <t>Shotaro Ban</t>
  </si>
  <si>
    <t>Hampus Bergman</t>
  </si>
  <si>
    <t>Uli Weinhandl</t>
  </si>
  <si>
    <t>Philip Geerts</t>
  </si>
  <si>
    <t>Ben Schlottman</t>
  </si>
  <si>
    <t>Gideon Van der Vyver</t>
  </si>
  <si>
    <t>Kento Nakai</t>
  </si>
  <si>
    <t>Frederick Wedel</t>
  </si>
  <si>
    <t>Vaughn Groenewald</t>
  </si>
  <si>
    <t>Mamo Osanai</t>
  </si>
  <si>
    <t>Oscar Stark</t>
  </si>
  <si>
    <t>John Ross Galbraith</t>
  </si>
  <si>
    <t>Waris Manthorn(Am)</t>
  </si>
  <si>
    <t>Jacquin Hess</t>
  </si>
  <si>
    <t>Taisho Okabe</t>
  </si>
  <si>
    <t>Jake Johnson</t>
  </si>
  <si>
    <t>Lu Wen-Teh</t>
  </si>
  <si>
    <t>Andreas Hillersborg Sorensen</t>
  </si>
  <si>
    <t>Harrison Woan</t>
  </si>
  <si>
    <t>Mitchell Meissner</t>
  </si>
  <si>
    <t>Michael Hoey</t>
  </si>
  <si>
    <t>Derick Petersen</t>
  </si>
  <si>
    <t>Gregory Bourdy</t>
  </si>
  <si>
    <t>Backjun Bobby An</t>
  </si>
  <si>
    <t>Guillermo Willy Pumarol</t>
  </si>
  <si>
    <t>DOM</t>
  </si>
  <si>
    <t>Oscar Bergman(Jul1992)</t>
  </si>
  <si>
    <t>Tawit Polthai</t>
  </si>
  <si>
    <t>Khai Jei Low</t>
  </si>
  <si>
    <t>Gregory Foo</t>
  </si>
  <si>
    <t>Hyukchul Shin</t>
  </si>
  <si>
    <t>Chris Swanepoel</t>
  </si>
  <si>
    <t>Rod Pampling</t>
  </si>
  <si>
    <t>Nick Marsh</t>
  </si>
  <si>
    <t>Makoto Inoue</t>
  </si>
  <si>
    <t>William Harrold</t>
  </si>
  <si>
    <t>Fredrik From</t>
  </si>
  <si>
    <t>Charlie Dann</t>
  </si>
  <si>
    <t>Daihan Lee</t>
  </si>
  <si>
    <t>James Ruth</t>
  </si>
  <si>
    <t>Akinori Yoshimura</t>
  </si>
  <si>
    <t>Hyungsung Kim</t>
  </si>
  <si>
    <t>Ryan Yip</t>
  </si>
  <si>
    <t>Hakhyung Kim</t>
  </si>
  <si>
    <t>Nick Watson</t>
  </si>
  <si>
    <t>Tom Gandy</t>
  </si>
  <si>
    <t>IMN</t>
  </si>
  <si>
    <t>Hein Sithu</t>
  </si>
  <si>
    <t>MYA</t>
  </si>
  <si>
    <t>Rhys Thompson</t>
  </si>
  <si>
    <t>Tobias Eden</t>
  </si>
  <si>
    <t>Charlie Jerner</t>
  </si>
  <si>
    <t>Gary Boyd</t>
  </si>
  <si>
    <t>Baptiste Achard</t>
  </si>
  <si>
    <t>Charlie John Netzel</t>
  </si>
  <si>
    <t>Christopher Carstensen</t>
  </si>
  <si>
    <t>Chandler Eaton</t>
  </si>
  <si>
    <t>Jesse Yap</t>
  </si>
  <si>
    <t>Carter Jenkins</t>
  </si>
  <si>
    <t>Christopher Petefish</t>
  </si>
  <si>
    <t>Zach Zaback</t>
  </si>
  <si>
    <t>Sander Aadusaar</t>
  </si>
  <si>
    <t>EST</t>
  </si>
  <si>
    <t>Jeongmin Park</t>
  </si>
  <si>
    <t>James Frazer</t>
  </si>
  <si>
    <t>Jaebum Park</t>
  </si>
  <si>
    <t>Daeeok Jeong</t>
  </si>
  <si>
    <t>Ben Ferguson(June1998)</t>
  </si>
  <si>
    <t>Erik Oja</t>
  </si>
  <si>
    <t>Lukas Gras</t>
  </si>
  <si>
    <t>Michael Thorbjornsen(Am)</t>
  </si>
  <si>
    <t>Philip Bootsma</t>
  </si>
  <si>
    <t>Ryoma Miki</t>
  </si>
  <si>
    <t>Felipe Aguilar</t>
  </si>
  <si>
    <t>Koichiro Kawano</t>
  </si>
  <si>
    <t>Bennie van der Merwe</t>
  </si>
  <si>
    <t>Quintin Wilsnach</t>
  </si>
  <si>
    <t>Michael-James Steyn</t>
  </si>
  <si>
    <t>Jeremy Sharpe</t>
  </si>
  <si>
    <t>Johan Carlsson</t>
  </si>
  <si>
    <t>Devon Bling(Am)</t>
  </si>
  <si>
    <t>Hendrikus Stoop</t>
  </si>
  <si>
    <t>Jorge Pichu Garcia</t>
  </si>
  <si>
    <t>Leon Vorster</t>
  </si>
  <si>
    <t>Matt Jager</t>
  </si>
  <si>
    <t>Franck Medale</t>
  </si>
  <si>
    <t>Xavi Puig</t>
  </si>
  <si>
    <t>Sudhir Sharma</t>
  </si>
  <si>
    <t>Cedric Otten(Am)</t>
  </si>
  <si>
    <t>Victor Trehet</t>
  </si>
  <si>
    <t>Mikael Salminen</t>
  </si>
  <si>
    <t>Alessandro Tadini</t>
  </si>
  <si>
    <t>Carl Didrik M. Fosaas(Am)</t>
  </si>
  <si>
    <t>Clayton Mansfield</t>
  </si>
  <si>
    <t>Ikjae Jang</t>
  </si>
  <si>
    <t>Rich Beem</t>
  </si>
  <si>
    <t>Justin Hicks</t>
  </si>
  <si>
    <t>Rob Labritz</t>
  </si>
  <si>
    <t>Ryan Vermeer</t>
  </si>
  <si>
    <t>Marty Jertson</t>
  </si>
  <si>
    <t>Martin Vorster(Am)</t>
  </si>
  <si>
    <t>Natthapong Niyomchon</t>
  </si>
  <si>
    <t>Matthew Rushton</t>
  </si>
  <si>
    <t>Keelan Van Wyk</t>
  </si>
  <si>
    <t>Ryan Baca</t>
  </si>
  <si>
    <t>Dongha Lee(Dec1982)</t>
  </si>
  <si>
    <t>Sulman Raza</t>
  </si>
  <si>
    <t>Matthew Pinizzotto</t>
  </si>
  <si>
    <t>Wu Hongfu</t>
  </si>
  <si>
    <t>Zhang Zihong</t>
  </si>
  <si>
    <t>Kalle Sneck</t>
  </si>
  <si>
    <t>Jakob Kollerup</t>
  </si>
  <si>
    <t>Will Whiteoak</t>
  </si>
  <si>
    <t>Daniel Brennan</t>
  </si>
  <si>
    <t>Josh Hilleard</t>
  </si>
  <si>
    <t>Anders Hansen</t>
  </si>
  <si>
    <t>Hugo Dobson</t>
  </si>
  <si>
    <t>Clemens Prader</t>
  </si>
  <si>
    <t>Jack Colegate</t>
  </si>
  <si>
    <t>Zhuang Zhu</t>
  </si>
  <si>
    <t>Daniel Gale</t>
  </si>
  <si>
    <t>Insung Ko</t>
  </si>
  <si>
    <t>Greg Eason</t>
  </si>
  <si>
    <t>Jesper Sandborg</t>
  </si>
  <si>
    <t>Thomas Bass</t>
  </si>
  <si>
    <t>Tom Murray(Jan1990)</t>
  </si>
  <si>
    <t>Doug McGuigan</t>
  </si>
  <si>
    <t>Jordan Niebrugge</t>
  </si>
  <si>
    <t>Ben Hall</t>
  </si>
  <si>
    <t>Hamish Brown</t>
  </si>
  <si>
    <t>Zhang Jia</t>
  </si>
  <si>
    <t>Andrew Dorn</t>
  </si>
  <si>
    <t>Chanhee Park</t>
  </si>
  <si>
    <t>Taeho Kim</t>
  </si>
  <si>
    <t>Gian-Marco Petrozzi</t>
  </si>
  <si>
    <t>Yuki Takeuchi</t>
  </si>
  <si>
    <t>Antonio Hortal</t>
  </si>
  <si>
    <t>Dale Brandt-Richards</t>
  </si>
  <si>
    <t>Stanislav Matus</t>
  </si>
  <si>
    <t>Andrew Hudson</t>
  </si>
  <si>
    <t>John Gough(Am)</t>
  </si>
  <si>
    <t>Taewook Koh</t>
  </si>
  <si>
    <t>Matthew Nixon</t>
  </si>
  <si>
    <t>Michael Buttacavoli</t>
  </si>
  <si>
    <t>Victor Tarnstrom</t>
  </si>
  <si>
    <t>George Gandranata</t>
  </si>
  <si>
    <t>Toshiki Ishitoku</t>
  </si>
  <si>
    <t>Sorachut Hansapiban</t>
  </si>
  <si>
    <t>James Erkenbeck</t>
  </si>
  <si>
    <t>Tomofumi Ouchi</t>
  </si>
  <si>
    <t>Hayato Yoshida</t>
  </si>
  <si>
    <t>Seth Fair</t>
  </si>
  <si>
    <t>Bernard Geelkerken</t>
  </si>
  <si>
    <t>Blake Cannon</t>
  </si>
  <si>
    <t>Mark Purser</t>
  </si>
  <si>
    <t>Joseph Dean</t>
  </si>
  <si>
    <t>Michael DeMorat</t>
  </si>
  <si>
    <t>Ahmed Marjane</t>
  </si>
  <si>
    <t>Nattawat Suvajanakorn</t>
  </si>
  <si>
    <t>Michael Davan</t>
  </si>
  <si>
    <t>Aaron Townsend</t>
  </si>
  <si>
    <t>Albin Choi</t>
  </si>
  <si>
    <t>Shinji Tomimura</t>
  </si>
  <si>
    <t>Koki Furuta</t>
  </si>
  <si>
    <t>Tom Lovelady</t>
  </si>
  <si>
    <t>Craig Farrelly</t>
  </si>
  <si>
    <t>He Zeming</t>
  </si>
  <si>
    <t>Jackson Dick</t>
  </si>
  <si>
    <t>Cesar Costilla</t>
  </si>
  <si>
    <t>Sungjoon Park</t>
  </si>
  <si>
    <t>Dru Love IV</t>
  </si>
  <si>
    <t>Daejin Jeong</t>
  </si>
  <si>
    <t>Christopher Hickman</t>
  </si>
  <si>
    <t>Erik Jonasson</t>
  </si>
  <si>
    <t>Thomas Le Berre</t>
  </si>
  <si>
    <t>Velten Meyer</t>
  </si>
  <si>
    <t>Md Akbar Hossain</t>
  </si>
  <si>
    <t>Md Sajib Ali</t>
  </si>
  <si>
    <t>Junghwan Lee</t>
  </si>
  <si>
    <t>Andrew Evans</t>
  </si>
  <si>
    <t>Andrew Curlewis</t>
  </si>
  <si>
    <t>Abhishek Kuhar</t>
  </si>
  <si>
    <t>Baptiste Courtachon</t>
  </si>
  <si>
    <t>Brian Hughes</t>
  </si>
  <si>
    <t>Charlie Bull</t>
  </si>
  <si>
    <t>Aksel Kristoffer Olsen</t>
  </si>
  <si>
    <t>Jade Buitendag</t>
  </si>
  <si>
    <t>Simon Ngigi</t>
  </si>
  <si>
    <t>Lincoln Tighe</t>
  </si>
  <si>
    <t>Badal Hossain</t>
  </si>
  <si>
    <t>Ouyang Zheng</t>
  </si>
  <si>
    <t>John Senden</t>
  </si>
  <si>
    <t>Isidro Benitez</t>
  </si>
  <si>
    <t>Geoff Ogilvy</t>
  </si>
  <si>
    <t>Michael Kim</t>
  </si>
  <si>
    <t>Max Smith</t>
  </si>
  <si>
    <t>Jack T Clarkson</t>
  </si>
  <si>
    <t>Teaghan Gauche</t>
  </si>
  <si>
    <t>Teremoana Beaucousin</t>
  </si>
  <si>
    <t>Udorn Duangdecha</t>
  </si>
  <si>
    <t>Krittin Sunthornnon</t>
  </si>
  <si>
    <t>Jason Norris</t>
  </si>
  <si>
    <t>Wallie Coetsee</t>
  </si>
  <si>
    <t>Benjamin Polland</t>
  </si>
  <si>
    <t>Maximilian Oelfke</t>
  </si>
  <si>
    <t>Raphael Jacquelin</t>
  </si>
  <si>
    <t>Varanyu Rattanaphiboonkij</t>
  </si>
  <si>
    <t>Casey Wittenberg</t>
  </si>
  <si>
    <t>Max Orrin</t>
  </si>
  <si>
    <t>Douglas Klein</t>
  </si>
  <si>
    <t>Eric Nel</t>
  </si>
  <si>
    <t>Jovan Rebula(Am)</t>
  </si>
  <si>
    <t>Ben Lein</t>
  </si>
  <si>
    <t>Robert Allenby</t>
  </si>
  <si>
    <t>Daniel Chopra</t>
  </si>
  <si>
    <t>David McIntyre</t>
  </si>
  <si>
    <t>Armando Favela</t>
  </si>
  <si>
    <t>Shi Alex Kim</t>
  </si>
  <si>
    <t>Hayden Griffiths</t>
  </si>
  <si>
    <t>Beon Yeong Lee</t>
  </si>
  <si>
    <t>Chen Dinggen</t>
  </si>
  <si>
    <t>Tyrone Ferreira</t>
  </si>
  <si>
    <t>Yujiro Ohori</t>
  </si>
  <si>
    <t>David McKenzie</t>
  </si>
  <si>
    <t>Thepbadin Amaranan</t>
  </si>
  <si>
    <t>Jason Gore</t>
  </si>
  <si>
    <t>Mathew Goggin</t>
  </si>
  <si>
    <t>Piya Sawangarunporn</t>
  </si>
  <si>
    <t>Michael Wright</t>
  </si>
  <si>
    <t>Norman Xiong</t>
  </si>
  <si>
    <t>Paulo Pinto</t>
  </si>
  <si>
    <t>Junsung Kim</t>
  </si>
  <si>
    <t>Mikko Ilonen</t>
  </si>
  <si>
    <t>Brad Moules</t>
  </si>
  <si>
    <t>Joel Girrbach</t>
  </si>
  <si>
    <t>Shunsuke Sonoda</t>
  </si>
  <si>
    <t>Inho Kim</t>
  </si>
  <si>
    <t>Joshua Salah</t>
  </si>
  <si>
    <t>Dalan Refioglu</t>
  </si>
  <si>
    <t>Benjamin Alvarado</t>
  </si>
  <si>
    <t>Dylan Meyer</t>
  </si>
  <si>
    <t>Junsub Park</t>
  </si>
  <si>
    <t>Stuart J. Smith</t>
  </si>
  <si>
    <t>BOT</t>
  </si>
  <si>
    <t>Jongyul Suk</t>
  </si>
  <si>
    <t>Woochan Kim</t>
  </si>
  <si>
    <t>Yutaka Araki</t>
  </si>
  <si>
    <t>Tertius Van Den Berg</t>
  </si>
  <si>
    <t>Damien Jordan</t>
  </si>
  <si>
    <t>Stephen Leaney</t>
  </si>
  <si>
    <t>Sachin Baisoya</t>
  </si>
  <si>
    <t>Jinjae Byun</t>
  </si>
  <si>
    <t>Jason Roets</t>
  </si>
  <si>
    <t>Eunho Youm</t>
  </si>
  <si>
    <t>Sam Connor</t>
  </si>
  <si>
    <t>Seonghyeon Jeon</t>
  </si>
  <si>
    <t>Craig Lawrie</t>
  </si>
  <si>
    <t>Seunghyun Doo</t>
  </si>
  <si>
    <t>Seongkeun Kim</t>
  </si>
  <si>
    <t>Heesung Park</t>
  </si>
  <si>
    <t>Jangho Park</t>
  </si>
  <si>
    <t>Ryan Lenahan</t>
  </si>
  <si>
    <t>Kevin Aylwin</t>
  </si>
  <si>
    <t>Ricky Yeow</t>
  </si>
  <si>
    <t>Gary Hurley</t>
  </si>
  <si>
    <t>Mike Ballo, Jr.</t>
  </si>
  <si>
    <t>Joshua Seale</t>
  </si>
  <si>
    <t>Lu Wenlong</t>
  </si>
  <si>
    <t>Will Grimmer</t>
  </si>
  <si>
    <t>Sam Love</t>
  </si>
  <si>
    <t>Xing Jianfu</t>
  </si>
  <si>
    <t>Sixto Casabona-Navarro</t>
  </si>
  <si>
    <t>Panupol Srichai</t>
  </si>
  <si>
    <t>Worrasorn Suwanpanang</t>
  </si>
  <si>
    <t>Hirotaka Hideshima</t>
  </si>
  <si>
    <t>Hirotake Sugano</t>
  </si>
  <si>
    <t>Sydney Wemba</t>
  </si>
  <si>
    <t>Yao Xuefeng</t>
  </si>
  <si>
    <t>Kang Jing An</t>
  </si>
  <si>
    <t>Sun Yan</t>
  </si>
  <si>
    <t>ZhangWen Tong</t>
  </si>
  <si>
    <t>Wan Zhidong</t>
  </si>
  <si>
    <t>Wu Showai(Am)</t>
  </si>
  <si>
    <t>Fredrik Gustavsson</t>
  </si>
  <si>
    <t>Seungseop Yu</t>
  </si>
  <si>
    <t>Masaki Matsumoto(Am)</t>
  </si>
  <si>
    <t>Nicholas Case Cochran</t>
  </si>
  <si>
    <t>Brant Peaper</t>
  </si>
  <si>
    <t>Blake Snyder</t>
  </si>
  <si>
    <t>Nikolaj Erland Nissen</t>
  </si>
  <si>
    <t>Jakub Pokorny</t>
  </si>
  <si>
    <t>Axel Ostensson</t>
  </si>
  <si>
    <t>Vojtech Kostelka(Am)</t>
  </si>
  <si>
    <t>Robert Hudson</t>
  </si>
  <si>
    <t>Sebastian Wittmann</t>
  </si>
  <si>
    <t>Mitchell Sutton</t>
  </si>
  <si>
    <t>Gerold Folk</t>
  </si>
  <si>
    <t>Markus Habeler</t>
  </si>
  <si>
    <t>Honoo Oshima(Am)</t>
  </si>
  <si>
    <t>Ryusei Yokota</t>
  </si>
  <si>
    <t>Stuart MacDonald</t>
  </si>
  <si>
    <t>Wang Yucong</t>
  </si>
  <si>
    <t>Wu Tianyi</t>
  </si>
  <si>
    <t>Neal Ajubita</t>
  </si>
  <si>
    <t>Feng Chuanbing</t>
  </si>
  <si>
    <t>Ryui Hashimoto</t>
  </si>
  <si>
    <t>Isamu Sasaki</t>
  </si>
  <si>
    <t>Pravin J Pathare</t>
  </si>
  <si>
    <t>Mohd Rizam Ali</t>
  </si>
  <si>
    <t>Curtis Yonke</t>
  </si>
  <si>
    <t>Jose Rolz</t>
  </si>
  <si>
    <t>Louis Botha</t>
  </si>
  <si>
    <t>Rakhyun Cho</t>
  </si>
  <si>
    <t>Taeksoo Kim</t>
  </si>
  <si>
    <t>Kayyam Rauf Mandhu</t>
  </si>
  <si>
    <t>Hunter Stewart</t>
  </si>
  <si>
    <t>Ervin Chang(Am)</t>
  </si>
  <si>
    <t>Junhyung An</t>
  </si>
  <si>
    <t>Woolee Bae</t>
  </si>
  <si>
    <t>Chunghoon Ha</t>
  </si>
  <si>
    <t>Jiung Jeong</t>
  </si>
  <si>
    <t>Jeewoo Kim</t>
  </si>
  <si>
    <t>Jehoo Park</t>
  </si>
  <si>
    <t>Younggyu Park</t>
  </si>
  <si>
    <t>Shin ODA</t>
  </si>
  <si>
    <t>Bernardo Bide</t>
  </si>
  <si>
    <t>Ignacio Marino</t>
  </si>
  <si>
    <t>Ayoub Lguirati</t>
  </si>
  <si>
    <t>Nattapong Putta</t>
  </si>
  <si>
    <t>Michael Hebert</t>
  </si>
  <si>
    <t>Zachary Olsen</t>
  </si>
  <si>
    <t>Kristian Caparros</t>
  </si>
  <si>
    <t>Colin Featherstone</t>
  </si>
  <si>
    <t>Barrett Kelpin</t>
  </si>
  <si>
    <t>Kelvin Chibuye</t>
  </si>
  <si>
    <t>Matengele Kaira</t>
  </si>
  <si>
    <t>Mi Yiyuan</t>
  </si>
  <si>
    <t>Xu Shen(Am)</t>
  </si>
  <si>
    <t>Wang Dongyu</t>
  </si>
  <si>
    <t>Wang Lushuang</t>
  </si>
  <si>
    <t>Zhu Song</t>
  </si>
  <si>
    <t>Christopher Fisher(Am)</t>
  </si>
  <si>
    <t>Muhd Zafran Abdullah</t>
  </si>
  <si>
    <t>Shawn Liew</t>
  </si>
  <si>
    <t>Reagan Png</t>
  </si>
  <si>
    <t>Jaesung Nam</t>
  </si>
  <si>
    <t>Seungtaek Oh</t>
  </si>
  <si>
    <t>Gabriele De Barba</t>
  </si>
  <si>
    <t>Chanyoung Park</t>
  </si>
  <si>
    <t>Jaeil Song(Jan1998)</t>
  </si>
  <si>
    <t>Juan Jose Guerra</t>
  </si>
  <si>
    <t>Paul Kinnear</t>
  </si>
  <si>
    <t>Taehyun Kong</t>
  </si>
  <si>
    <t>Muhammad Syakir Adli Azmi</t>
  </si>
  <si>
    <t>Mohd Hafiz Md Said</t>
  </si>
  <si>
    <t>Kengo Aoshima</t>
  </si>
  <si>
    <t>Riku IGAKI</t>
  </si>
  <si>
    <t>Deng Fei</t>
  </si>
  <si>
    <t>Chun Liu</t>
  </si>
  <si>
    <t>Luo Xiaofei</t>
  </si>
  <si>
    <t>Chang Chien-chi</t>
  </si>
  <si>
    <t>Liu Yu-jui</t>
  </si>
  <si>
    <t>Byungjoo Park</t>
  </si>
  <si>
    <t>Sungjun Park</t>
  </si>
  <si>
    <t>Alex Edge</t>
  </si>
  <si>
    <t>Samuel Gervinas</t>
  </si>
  <si>
    <t>Luke Toomey</t>
  </si>
  <si>
    <t>Scott Campbell</t>
  </si>
  <si>
    <t>Sam Forgan</t>
  </si>
  <si>
    <t>Gary King</t>
  </si>
  <si>
    <t>Charles Tortuyaux</t>
  </si>
  <si>
    <t>Mohd Firdaus Abd Diddy Ibnu</t>
  </si>
  <si>
    <t>Hakeem Jefri</t>
  </si>
  <si>
    <t>BRU</t>
  </si>
  <si>
    <t>Jamison Sindelar</t>
  </si>
  <si>
    <t>Kosei Takeyama</t>
  </si>
  <si>
    <t>James Gibellini</t>
  </si>
  <si>
    <t>Neil O'Briain</t>
  </si>
  <si>
    <t>Yuta Sakamaki</t>
  </si>
  <si>
    <t>Kaigo Tamaki</t>
  </si>
  <si>
    <t>Shotaro Wada</t>
  </si>
  <si>
    <t>James Seymour</t>
  </si>
  <si>
    <t>Taiga Iwata(Am)</t>
  </si>
  <si>
    <t>Shota Konishi</t>
  </si>
  <si>
    <t>Daiki Matsumura</t>
  </si>
  <si>
    <t>Teng Kao</t>
  </si>
  <si>
    <t>Jian Chuan-lin</t>
  </si>
  <si>
    <t>She Zihan</t>
  </si>
  <si>
    <t>Shen Nan-nan</t>
  </si>
  <si>
    <t>Wang Yichen</t>
  </si>
  <si>
    <t>Azaan Al Rumhy(Am)</t>
  </si>
  <si>
    <t>OMA</t>
  </si>
  <si>
    <t>Faisal Mohammed Al Salhab(Am)</t>
  </si>
  <si>
    <t>KSA</t>
  </si>
  <si>
    <t>Iorkys Cabrera</t>
  </si>
  <si>
    <t>Axell Gustavo Dos Santos</t>
  </si>
  <si>
    <t>Herik Machado</t>
  </si>
  <si>
    <t>Kenichi Iwao</t>
  </si>
  <si>
    <t>Rui Takamatsu</t>
  </si>
  <si>
    <t>Stefano Pitoni</t>
  </si>
  <si>
    <t>Shinichi Fujii</t>
  </si>
  <si>
    <t>James Betts</t>
  </si>
  <si>
    <t>Jason Chellew</t>
  </si>
  <si>
    <t>Michael Hansen</t>
  </si>
  <si>
    <t>Joel Landers</t>
  </si>
  <si>
    <t>Koji Okajima</t>
  </si>
  <si>
    <t>Hiroyuki Katsuragawa(Am)</t>
  </si>
  <si>
    <t>Ma Chengyao</t>
  </si>
  <si>
    <t>Baejong Park</t>
  </si>
  <si>
    <t>Yang Yinong</t>
  </si>
  <si>
    <t>Ryan Ellerbrock</t>
  </si>
  <si>
    <t>Koji Inoue</t>
  </si>
  <si>
    <t>Andre Tourinho</t>
  </si>
  <si>
    <t>Paul Harris</t>
  </si>
  <si>
    <t>Matt Kang</t>
  </si>
  <si>
    <t>David Rose</t>
  </si>
  <si>
    <t>Baghaullah Sobhani</t>
  </si>
  <si>
    <t>Mohammad Wafiyuddin</t>
  </si>
  <si>
    <t>K Prabagaran</t>
  </si>
  <si>
    <t>Daniel Nduva(Am)</t>
  </si>
  <si>
    <t>Ben Hollis</t>
  </si>
  <si>
    <t>Mpho Tarry Mafishe</t>
  </si>
  <si>
    <t>Frazer Droop</t>
  </si>
  <si>
    <t>Matias Sanchez</t>
  </si>
  <si>
    <t>Andrew Schonewille</t>
  </si>
  <si>
    <t>Rodolfo Cazaubon Jnr</t>
  </si>
  <si>
    <t>William Kropp</t>
  </si>
  <si>
    <t>Neo Thubisi</t>
  </si>
  <si>
    <t>Jared Sawada</t>
  </si>
  <si>
    <t>Daniel Parkin</t>
  </si>
  <si>
    <t>Pudyo Pramudyanto</t>
  </si>
  <si>
    <t>Trishul Chinnappa</t>
  </si>
  <si>
    <t>Troy Moses</t>
  </si>
  <si>
    <t>Michael Pearce</t>
  </si>
  <si>
    <t>Joaquin Bonjour</t>
  </si>
  <si>
    <t>Thomas Baik</t>
  </si>
  <si>
    <t>Gonzalo Garcia</t>
  </si>
  <si>
    <t>Theodore Rahardja(Am)</t>
  </si>
  <si>
    <t>Syukrizal S</t>
  </si>
  <si>
    <t>Fadhli Rahman Soetarso(Am)</t>
  </si>
  <si>
    <t>Joshua Andrew Wirawan</t>
  </si>
  <si>
    <t>Marcos Montenegro</t>
  </si>
  <si>
    <t>Lisandro Eyherabide</t>
  </si>
  <si>
    <t>Matias Simasky</t>
  </si>
  <si>
    <t>Facundo Villanueva</t>
  </si>
  <si>
    <t>Peter Stojanovski</t>
  </si>
  <si>
    <t>Huang Hsiang-hao</t>
  </si>
  <si>
    <t>Tsai Che-hung</t>
  </si>
  <si>
    <t>Shotaro Onuki</t>
  </si>
  <si>
    <t>Ali Altuntas</t>
  </si>
  <si>
    <t>TUR</t>
  </si>
  <si>
    <t>Ediz Kemaloglu</t>
  </si>
  <si>
    <t>Alejandro Medina</t>
  </si>
  <si>
    <t>PER</t>
  </si>
  <si>
    <t>Karan Taunk</t>
  </si>
  <si>
    <t>Muhammad Adam Shafiq Sazali</t>
  </si>
  <si>
    <t>Azhar Tahir</t>
  </si>
  <si>
    <t>Keita Suzuki</t>
  </si>
  <si>
    <t>Shota Ueki(Am)</t>
  </si>
  <si>
    <t>Yutaka Toyoshima(Am)</t>
  </si>
  <si>
    <t>Juan Pablo Hernandez</t>
  </si>
  <si>
    <t>Keita Sudo</t>
  </si>
  <si>
    <t>Taishin Tanaka</t>
  </si>
  <si>
    <t>Sam Straka</t>
  </si>
  <si>
    <t>Scott Fallon</t>
  </si>
  <si>
    <t>Gonzalo Gancedo Onieva</t>
  </si>
  <si>
    <t>Jose Maria Orozco Calleja</t>
  </si>
  <si>
    <t>Yamato Ebina</t>
  </si>
  <si>
    <t>Esak Choi</t>
  </si>
  <si>
    <t>Sungho Choi</t>
  </si>
  <si>
    <t>Maurice Allen</t>
  </si>
  <si>
    <t>Dookyun Won</t>
  </si>
  <si>
    <t>Seohyun Yeom</t>
  </si>
  <si>
    <t>Alan De Bondt(Am)</t>
  </si>
  <si>
    <t>Junhyeong Seok</t>
  </si>
  <si>
    <t>Junho Hong</t>
  </si>
  <si>
    <t>Woosuk Hwang</t>
  </si>
  <si>
    <t>Aaron Simfukwe Jnr</t>
  </si>
  <si>
    <t>Ayumi Kawamitsu</t>
  </si>
  <si>
    <t>Atsushi Ogawa</t>
  </si>
  <si>
    <t>Shin Saito</t>
  </si>
  <si>
    <t>Gabriel Chibale(Am)</t>
  </si>
  <si>
    <t>T.J. Mitchell</t>
  </si>
  <si>
    <t>Kevin Caesario Akbar</t>
  </si>
  <si>
    <t>Namhun Kim(Jan1994)</t>
  </si>
  <si>
    <t>Charlie Holland</t>
  </si>
  <si>
    <t>Ye Wocheng</t>
  </si>
  <si>
    <t>Matt Carroll</t>
  </si>
  <si>
    <t>Pietro Ricci</t>
  </si>
  <si>
    <t>Reeve Whitson</t>
  </si>
  <si>
    <t>Tanaka Mhere(Am)</t>
  </si>
  <si>
    <t>Dean Nysschen</t>
  </si>
  <si>
    <t>Sheldon Steyn</t>
  </si>
  <si>
    <t>Javier Ballesteros</t>
  </si>
  <si>
    <t>Javier Gallegos</t>
  </si>
  <si>
    <t>Ryan Sullivan</t>
  </si>
  <si>
    <t>Pablo Nahmias</t>
  </si>
  <si>
    <t>Paul Maddy</t>
  </si>
  <si>
    <t>Maritz Wessels</t>
  </si>
  <si>
    <t>Fadzlan Faruk</t>
  </si>
  <si>
    <t>Hakyeul Lee</t>
  </si>
  <si>
    <t>Sebastian Bergagna</t>
  </si>
  <si>
    <t>Antonio Costa</t>
  </si>
  <si>
    <t>German Tagle(Am)</t>
  </si>
  <si>
    <t>Hiroki Hidaka</t>
  </si>
  <si>
    <t>Tyler Weworski</t>
  </si>
  <si>
    <t>Jakub Bares</t>
  </si>
  <si>
    <t>Daniel Suchan</t>
  </si>
  <si>
    <t>Alex Kang</t>
  </si>
  <si>
    <t>Nikolaus Wimmer</t>
  </si>
  <si>
    <t>Jeffrey Kellen</t>
  </si>
  <si>
    <t>Ruan Huysamen</t>
  </si>
  <si>
    <t>NAM</t>
  </si>
  <si>
    <t>Floris De Haas</t>
  </si>
  <si>
    <t>Te-Chin Siriboonyasuk</t>
  </si>
  <si>
    <t>Krittitee Sunthornnon</t>
  </si>
  <si>
    <t>Michael Ludwig</t>
  </si>
  <si>
    <t>James Webber</t>
  </si>
  <si>
    <t>Nabil Abdul</t>
  </si>
  <si>
    <t>Adrian Halimi</t>
  </si>
  <si>
    <t>Jack Munro</t>
  </si>
  <si>
    <t>Sofian Kepli</t>
  </si>
  <si>
    <t>Shunsuke Kajiya</t>
  </si>
  <si>
    <t>Jason Millard</t>
  </si>
  <si>
    <t>Hiroyuki Nagamatsu</t>
  </si>
  <si>
    <t>Galven K Green(Am)</t>
  </si>
  <si>
    <t>Patrick Murphy(Am)</t>
  </si>
  <si>
    <t>Nicolas Tacher</t>
  </si>
  <si>
    <t>Dan Obremski</t>
  </si>
  <si>
    <t>Michael Fenten</t>
  </si>
  <si>
    <t>Miki Kuronen</t>
  </si>
  <si>
    <t>Lee Shih-hung</t>
  </si>
  <si>
    <t>Pasavee Lertvilai</t>
  </si>
  <si>
    <t>David Muttitt</t>
  </si>
  <si>
    <t>Geonha Kim</t>
  </si>
  <si>
    <t>Lee Chao-hua</t>
  </si>
  <si>
    <t>Peng Hung-ching</t>
  </si>
  <si>
    <t>Zahkai Brown</t>
  </si>
  <si>
    <t>Zach J Johnson</t>
  </si>
  <si>
    <t>Brinson Paolini</t>
  </si>
  <si>
    <t>Eric Banks</t>
  </si>
  <si>
    <t>Takashi Okuda</t>
  </si>
  <si>
    <t>Federico Zuckermann(Am)</t>
  </si>
  <si>
    <t>Lin Keng-wei</t>
  </si>
  <si>
    <t>S Sujarwo</t>
  </si>
  <si>
    <t>Asep Saefulloh</t>
  </si>
  <si>
    <t>Joeh Seik</t>
  </si>
  <si>
    <t>W Warno</t>
  </si>
  <si>
    <t>Max Gilbert</t>
  </si>
  <si>
    <t>Steve Vail</t>
  </si>
  <si>
    <t>Ivan Camilo Ramirez</t>
  </si>
  <si>
    <t>Juan Sebastian Roa</t>
  </si>
  <si>
    <t>Todd Sinnott</t>
  </si>
  <si>
    <t>Sam An</t>
  </si>
  <si>
    <t>Cameron Jones</t>
  </si>
  <si>
    <t>Daniel Pearce</t>
  </si>
  <si>
    <t>Gregory Upton</t>
  </si>
  <si>
    <t>Mitchell Brown(May1990)</t>
  </si>
  <si>
    <t>Theodore Coroneo</t>
  </si>
  <si>
    <t>Simon Hawkes</t>
  </si>
  <si>
    <t>Peter Martin</t>
  </si>
  <si>
    <t>Darren Garrett</t>
  </si>
  <si>
    <t>Daniel Hoeve</t>
  </si>
  <si>
    <t>Makgetha Mazibuko</t>
  </si>
  <si>
    <t>Christo Roos</t>
  </si>
  <si>
    <t>Nisharlan Sewshanker</t>
  </si>
  <si>
    <t>Ben Croft(Am)</t>
  </si>
  <si>
    <t>Luis Fernando Barco</t>
  </si>
  <si>
    <t>Joaquin Lolas</t>
  </si>
  <si>
    <t>Marcel Olivares(Am)</t>
  </si>
  <si>
    <t>Rhadames Pena</t>
  </si>
  <si>
    <t>Chris Richards</t>
  </si>
  <si>
    <t>Hiram Silfa(Am)</t>
  </si>
  <si>
    <t>Yooho Lee</t>
  </si>
  <si>
    <t>Xuecheng Li</t>
  </si>
  <si>
    <t>Liu Mengyang</t>
  </si>
  <si>
    <t>Song Chao</t>
  </si>
  <si>
    <t>Wu Haochuan</t>
  </si>
  <si>
    <t>Juan Alvarez</t>
  </si>
  <si>
    <t>URU</t>
  </si>
  <si>
    <t>Francisco Bide</t>
  </si>
  <si>
    <t>Eric Beringer</t>
  </si>
  <si>
    <t>Hernan Borja</t>
  </si>
  <si>
    <t>Rafael Guerrero</t>
  </si>
  <si>
    <t>Sergio Rohlmann</t>
  </si>
  <si>
    <t>Franco Romero</t>
  </si>
  <si>
    <t>Zhou Ziqin(Am)</t>
  </si>
  <si>
    <t>Damien Chatterley</t>
  </si>
  <si>
    <t>Ackzel Donaldson</t>
  </si>
  <si>
    <t>Matthew Dowling</t>
  </si>
  <si>
    <t>Matt Field</t>
  </si>
  <si>
    <t>Kerrod Gray</t>
  </si>
  <si>
    <t>Gavin Reed</t>
  </si>
  <si>
    <t>Michael Smyth</t>
  </si>
  <si>
    <t>David Stewart(Am)</t>
  </si>
  <si>
    <t>David Wilson</t>
  </si>
  <si>
    <t>Kohei Kinoshita</t>
  </si>
  <si>
    <t>Toshiumi Kushioka</t>
  </si>
  <si>
    <t>Alejandro Villasana</t>
  </si>
  <si>
    <t>Arnaud Guerin</t>
  </si>
  <si>
    <t>Yuki Shino</t>
  </si>
  <si>
    <t>Hugo Amsallem(Am)</t>
  </si>
  <si>
    <t>Ashbeer Saini</t>
  </si>
  <si>
    <t>Sameer M Shaikh</t>
  </si>
  <si>
    <t>Jamie Hook</t>
  </si>
  <si>
    <t>Nicholas Russell</t>
  </si>
  <si>
    <t>Anthony Timms</t>
  </si>
  <si>
    <t>Arthur Horne</t>
  </si>
  <si>
    <t>SWZ</t>
  </si>
  <si>
    <t>Hesbon Kutwa</t>
  </si>
  <si>
    <t>Justus Madoya</t>
  </si>
  <si>
    <t>Nelson Simwa</t>
  </si>
  <si>
    <t>C John Wangai</t>
  </si>
  <si>
    <t>Tony Omuli</t>
  </si>
  <si>
    <t>Wasim Khan</t>
  </si>
  <si>
    <t>Mohd Musa Fakir</t>
  </si>
  <si>
    <t>Karan Pratap Singh</t>
  </si>
  <si>
    <t>Jannie Botha</t>
  </si>
  <si>
    <t>Pattalit Thanomsing</t>
  </si>
  <si>
    <t>John Young Kim</t>
  </si>
  <si>
    <t>Juan Carlos Serrano</t>
  </si>
  <si>
    <t>Solomon Emilio Rosidin</t>
  </si>
  <si>
    <t>Oswaldo Cruz</t>
  </si>
  <si>
    <t>Chris Gilman</t>
  </si>
  <si>
    <t>Aaron Terrazas</t>
  </si>
  <si>
    <t>Duane Keun</t>
  </si>
  <si>
    <t>Bryan Martin</t>
  </si>
  <si>
    <t>Ben Ford</t>
  </si>
  <si>
    <t>Simon Viitakangas</t>
  </si>
  <si>
    <t>Omar Tejeira</t>
  </si>
  <si>
    <t>PAN</t>
  </si>
  <si>
    <t>Keegan Kam</t>
  </si>
  <si>
    <t>Mohd Farid Abdul Rashid</t>
  </si>
  <si>
    <t>Jonathan Wong</t>
  </si>
  <si>
    <t>Daniel J Loypur</t>
  </si>
  <si>
    <t>Paul Buchanan</t>
  </si>
  <si>
    <t>Matthew Buff</t>
  </si>
  <si>
    <t>Matthew Criss</t>
  </si>
  <si>
    <t>Saleh Musbah Al Kaabi(Am)</t>
  </si>
  <si>
    <t>QAT</t>
  </si>
  <si>
    <t>Steven Fox</t>
  </si>
  <si>
    <t>Teerapat Punglamyai</t>
  </si>
  <si>
    <t>Julian Lerda</t>
  </si>
  <si>
    <t>Callan O'Reilly</t>
  </si>
  <si>
    <t>Santiago Bauni</t>
  </si>
  <si>
    <t>Martin Kim</t>
  </si>
  <si>
    <t>Jamie Lopez Rivarola</t>
  </si>
  <si>
    <t>Kong Loong Tony Lam</t>
  </si>
  <si>
    <t>Yu Shuen Lam</t>
  </si>
  <si>
    <t>Tommy Mansuwan</t>
  </si>
  <si>
    <t>Daniel Owen</t>
  </si>
  <si>
    <t>Matthew Tweddell</t>
  </si>
  <si>
    <t>Razli Yahya</t>
  </si>
  <si>
    <t>Irfan Yusoff</t>
  </si>
  <si>
    <t>Abdul Samat Abu</t>
  </si>
  <si>
    <t>James Bowen</t>
  </si>
  <si>
    <t>Chris Carey</t>
  </si>
  <si>
    <t>Periyono Dolsalim</t>
  </si>
  <si>
    <t>Mior Asyraf Haziq</t>
  </si>
  <si>
    <t>Kalana Ibrahim</t>
  </si>
  <si>
    <t>Jihoon Kim</t>
  </si>
  <si>
    <t>Zhang Kailiang</t>
  </si>
  <si>
    <t>Maxwell Cohen</t>
  </si>
  <si>
    <t>Feroz Singh Garewal</t>
  </si>
  <si>
    <t>Katsufumi Suzuki</t>
  </si>
  <si>
    <t>Derek Chang</t>
  </si>
  <si>
    <t>Kevin Gillick</t>
  </si>
  <si>
    <t>Michael Mendez</t>
  </si>
  <si>
    <t>Altaaf Bux</t>
  </si>
  <si>
    <t>Masato Miyahara</t>
  </si>
  <si>
    <t>Tim Gornik</t>
  </si>
  <si>
    <t>SLO</t>
  </si>
  <si>
    <t>Anton Guedra</t>
  </si>
  <si>
    <t>Rory McNamara</t>
  </si>
  <si>
    <t>Jae Woo Shim</t>
  </si>
  <si>
    <t>Taiga Fukuoka</t>
  </si>
  <si>
    <t>Kazuki Ishiwata</t>
  </si>
  <si>
    <t>Jordi Panes Capdevila</t>
  </si>
  <si>
    <t>Morten Toft Hansen(Am)</t>
  </si>
  <si>
    <t>Nikolai Hogh</t>
  </si>
  <si>
    <t>Peter Launer Baek</t>
  </si>
  <si>
    <t>Hyunick James Back</t>
  </si>
  <si>
    <t>Cheolho Sin</t>
  </si>
  <si>
    <t>Masato Takada</t>
  </si>
  <si>
    <t>Oliver Rath(Am)</t>
  </si>
  <si>
    <t>Jon Trasamar</t>
  </si>
  <si>
    <t>Harry Casey</t>
  </si>
  <si>
    <t>Eddy Shen-hou Ng</t>
  </si>
  <si>
    <t>Michael McGowan</t>
  </si>
  <si>
    <t>Austin Quick</t>
  </si>
  <si>
    <t>Roberto Rodriguez</t>
  </si>
  <si>
    <t>Fan Shiyu</t>
  </si>
  <si>
    <t>Wang Changwei</t>
  </si>
  <si>
    <t>Phillip Kasozi</t>
  </si>
  <si>
    <t>UGA</t>
  </si>
  <si>
    <t>Alfred Nandwa</t>
  </si>
  <si>
    <t>Erick Ooko Obura</t>
  </si>
  <si>
    <t>Mathew Wahome(Am)</t>
  </si>
  <si>
    <t>Bryn C Flanagan</t>
  </si>
  <si>
    <t>Alessandro Grammatica</t>
  </si>
  <si>
    <t>Dongkwan Kim</t>
  </si>
  <si>
    <t>Tonderayi Masunga</t>
  </si>
  <si>
    <t>Yoon Chung</t>
  </si>
  <si>
    <t>Dowon Jung</t>
  </si>
  <si>
    <t>Sangkeup Jung</t>
  </si>
  <si>
    <t>Minseok Kang(Feb1991)</t>
  </si>
  <si>
    <t>Yeunsub Kim</t>
  </si>
  <si>
    <t>Sangwoo Yu</t>
  </si>
  <si>
    <t>Lawrence Ting</t>
  </si>
  <si>
    <t>Vikkash Babu</t>
  </si>
  <si>
    <t>Almay Rayhan(Am)</t>
  </si>
  <si>
    <t>Blanton Farmer</t>
  </si>
  <si>
    <t>Gaston Romero</t>
  </si>
  <si>
    <t>Andy Shounbaum</t>
  </si>
  <si>
    <t>Joseph Gunerman</t>
  </si>
  <si>
    <t>Fang Yin Jen</t>
  </si>
  <si>
    <t>Lin Yuan Wei</t>
  </si>
  <si>
    <t>Liu Yung Hua(Am)</t>
  </si>
  <si>
    <t>Tsuyoshi Abe</t>
  </si>
  <si>
    <t>Joshua Han</t>
  </si>
  <si>
    <t>Kyle Michel</t>
  </si>
  <si>
    <t>Nathan Miller</t>
  </si>
  <si>
    <t>Leigh Pritchard(Am)</t>
  </si>
  <si>
    <t>Christopher Akers</t>
  </si>
  <si>
    <t>Brenton Parrish</t>
  </si>
  <si>
    <t>Hayden Beard</t>
  </si>
  <si>
    <t>Kiishaan Tharmalingam</t>
  </si>
  <si>
    <t>Shaun Jones</t>
  </si>
  <si>
    <t>Ruben Lal</t>
  </si>
  <si>
    <t>Woonchul Na</t>
  </si>
  <si>
    <t>Dylan Stollery</t>
  </si>
  <si>
    <t>Yuichi Teruya</t>
  </si>
  <si>
    <t>Samarth Dwivedi</t>
  </si>
  <si>
    <t>Dwayne Basson</t>
  </si>
  <si>
    <t>Calvin Caldeira</t>
  </si>
  <si>
    <t>Thanda Mavundla</t>
  </si>
  <si>
    <t>Tim Crouch</t>
  </si>
  <si>
    <t>Supakrit Rattanakamphol</t>
  </si>
  <si>
    <t>Charles Wright</t>
  </si>
  <si>
    <t>Sakchai Sirimaya</t>
  </si>
  <si>
    <t>Matt Robertson</t>
  </si>
  <si>
    <t>Brett Monaghan</t>
  </si>
  <si>
    <t>Martin Contini</t>
  </si>
  <si>
    <t>Jesus Montenegro</t>
  </si>
  <si>
    <t>Juan Ignacio Noba</t>
  </si>
  <si>
    <t>Zaki Auliyan</t>
  </si>
  <si>
    <t>Dominikus Glenn Yuwono(Am)</t>
  </si>
  <si>
    <t>Rizky Subakti(Am)</t>
  </si>
  <si>
    <t>Karim El Hali</t>
  </si>
  <si>
    <t>Tyler Hogarty</t>
  </si>
  <si>
    <t>Jakub Hrinda(Am)</t>
  </si>
  <si>
    <t>Ben Geyer</t>
  </si>
  <si>
    <t>Michael Hopper</t>
  </si>
  <si>
    <t>Daniel Kay</t>
  </si>
  <si>
    <t>Kritsada Thanakrit Chaisinlapin</t>
  </si>
  <si>
    <t>Jaturon Duangphaichoom</t>
  </si>
  <si>
    <t>Naras Luangphetcharaporn</t>
  </si>
  <si>
    <t>Jittakorn Nuamthanong</t>
  </si>
  <si>
    <t>Varit P Chomcha Panyathanasedh</t>
  </si>
  <si>
    <t>Vetis Saenghiran</t>
  </si>
  <si>
    <t>Weerawit Sakuncharoenrat</t>
  </si>
  <si>
    <t>Wachirawit Saoron</t>
  </si>
  <si>
    <t>Siri Siricharoen</t>
  </si>
  <si>
    <t>Kaenpeth Yodpack</t>
  </si>
  <si>
    <t>Andi Dill</t>
  </si>
  <si>
    <t>Toshitaka Namikawa</t>
  </si>
  <si>
    <t>Federico Zucchetti</t>
  </si>
  <si>
    <t>Jeremy Gandon</t>
  </si>
  <si>
    <t>Kenny Subregis</t>
  </si>
  <si>
    <t>Casper Loh</t>
  </si>
  <si>
    <t>Michele Cea</t>
  </si>
  <si>
    <t>Colm Campbell(Am)</t>
  </si>
  <si>
    <t>Vince Van Veen</t>
  </si>
  <si>
    <t>Andrew Campbell</t>
  </si>
  <si>
    <t>Victor Janin</t>
  </si>
  <si>
    <t>Muhamad Lockman Mustaffa(Am)</t>
  </si>
  <si>
    <t>Lin Hao-Yuan</t>
  </si>
  <si>
    <t>Tsai Kai-jen</t>
  </si>
  <si>
    <t>Wong Shuai Ming</t>
  </si>
  <si>
    <t>Max Laier</t>
  </si>
  <si>
    <t>Wang Wei Hsiang</t>
  </si>
  <si>
    <t>Kristian Kulokorpi</t>
  </si>
  <si>
    <t>Henri Pyykola</t>
  </si>
  <si>
    <t>Tuomas Salminen</t>
  </si>
  <si>
    <t>Seungha Shin</t>
  </si>
  <si>
    <t>Rifqi Alam(Am)</t>
  </si>
  <si>
    <t>Alexander Valentino(Am)</t>
  </si>
  <si>
    <t>Seandy Alfarabi(Am)</t>
  </si>
  <si>
    <t>Andy Chu</t>
  </si>
  <si>
    <t>Terrance Ng(Am)</t>
  </si>
  <si>
    <t>Austin James</t>
  </si>
  <si>
    <t>Evan DeGrazia</t>
  </si>
  <si>
    <t>Aaron Crawford</t>
  </si>
  <si>
    <t>Marten Palm(Am)</t>
  </si>
  <si>
    <t>Joshua White</t>
  </si>
  <si>
    <t>Jacob Eggers</t>
  </si>
  <si>
    <t>Rourke Van der Spuy</t>
  </si>
  <si>
    <t>Sungbin Park</t>
  </si>
  <si>
    <t>Junhyung (Joohwan) You</t>
  </si>
  <si>
    <t>Anders Ellingsberg</t>
  </si>
  <si>
    <t>Yasushi Karimata</t>
  </si>
  <si>
    <t>Takumi Konno</t>
  </si>
  <si>
    <t>Iori Nemoto</t>
  </si>
  <si>
    <t>Petr Valasek</t>
  </si>
  <si>
    <t>Travis Fredborg</t>
  </si>
  <si>
    <t>Michal Brezovsky</t>
  </si>
  <si>
    <t>Jan Friesz</t>
  </si>
  <si>
    <t>George Worrall</t>
  </si>
  <si>
    <t>Chaiwan Eliasson</t>
  </si>
  <si>
    <t>Anton Mostrom</t>
  </si>
  <si>
    <t>Lucas Norman</t>
  </si>
  <si>
    <t>Aleksi Myllymaki</t>
  </si>
  <si>
    <t>Tom Dolan(Nov1990)</t>
  </si>
  <si>
    <t>Mookie DeMoss</t>
  </si>
  <si>
    <t>Davide Albertini</t>
  </si>
  <si>
    <t>Michael Farrier-Twist</t>
  </si>
  <si>
    <t>Marcus Mohr</t>
  </si>
  <si>
    <t>Ben Smith(Aug1993)</t>
  </si>
  <si>
    <t>Hendrik Beins</t>
  </si>
  <si>
    <t>Henri-Edmond Jouan</t>
  </si>
  <si>
    <t>Christian Kummerle(Am)</t>
  </si>
  <si>
    <t>Aaron Leitmannstetter</t>
  </si>
  <si>
    <t>Clifford Maye</t>
  </si>
  <si>
    <t>Ole Pirdzun(Am)</t>
  </si>
  <si>
    <t>Evanildo Silva dos Santos</t>
  </si>
  <si>
    <t>Ruben van Uden</t>
  </si>
  <si>
    <t>Olle Almen</t>
  </si>
  <si>
    <t>Oliver Percy-Smith</t>
  </si>
  <si>
    <t>Jonas Svensson</t>
  </si>
  <si>
    <t>Adrian Verroca</t>
  </si>
  <si>
    <t>Kalle Nilsson</t>
  </si>
  <si>
    <t>Jesper Nordberg</t>
  </si>
  <si>
    <t>Felix Jordansson</t>
  </si>
  <si>
    <t>Hampus Larsson(Sept1995)</t>
  </si>
  <si>
    <t>Anton Hansson</t>
  </si>
  <si>
    <t>Sebastian Hansson(Nov1991)</t>
  </si>
  <si>
    <t>Max Helgesson</t>
  </si>
  <si>
    <t>Philip Mattsson(Mar1994)</t>
  </si>
  <si>
    <t>Jan-Philip Neuendorf</t>
  </si>
  <si>
    <t>Hampus Nilsson</t>
  </si>
  <si>
    <t>Rune Jesper Olsen</t>
  </si>
  <si>
    <t>Jesper Olsson</t>
  </si>
  <si>
    <t>Mattias Olsson</t>
  </si>
  <si>
    <t>Soren Schulze Pettersson</t>
  </si>
  <si>
    <t>Reece Phillips</t>
  </si>
  <si>
    <t>Nikolaj Viuff</t>
  </si>
  <si>
    <t>Mathias Weiderman</t>
  </si>
  <si>
    <t>Patrick Actis Alesina</t>
  </si>
  <si>
    <t>Maarten Bosch</t>
  </si>
  <si>
    <t>Stanislas Heck</t>
  </si>
  <si>
    <t>Victor Roupe</t>
  </si>
  <si>
    <t>Mathias Lynne Schjolberg</t>
  </si>
  <si>
    <t>Emil Sogaard</t>
  </si>
  <si>
    <t>Kristian Roenn Skorstengaard</t>
  </si>
  <si>
    <t>Andreas Sondergaard</t>
  </si>
  <si>
    <t>Joachim Szots</t>
  </si>
  <si>
    <t>Kamil Tatarczuk</t>
  </si>
  <si>
    <t>Thomas Thatford</t>
  </si>
  <si>
    <t>Kevin Turlan</t>
  </si>
  <si>
    <t>Marek Tyminski(Am)</t>
  </si>
  <si>
    <t>Christopher Van Der Meulen</t>
  </si>
  <si>
    <t>Oskar Zaborowski</t>
  </si>
  <si>
    <t>Max Brackley</t>
  </si>
  <si>
    <t>Will Brown</t>
  </si>
  <si>
    <t>Francesco Rocca</t>
  </si>
  <si>
    <t>Leonardo Sbarigia</t>
  </si>
  <si>
    <t>Sascha Schmidt</t>
  </si>
  <si>
    <t>Alain Jeanrenaud</t>
  </si>
  <si>
    <t>Mateusz Jedrzejczyk</t>
  </si>
  <si>
    <t>Kevin Rhoderick</t>
  </si>
  <si>
    <t>Jesper Gunder Larsen</t>
  </si>
  <si>
    <t>Tobias Larsen</t>
  </si>
  <si>
    <t>Marcus Lindstrom(Aug1992)</t>
  </si>
  <si>
    <t>Niklas Lindstrom</t>
  </si>
  <si>
    <t>Magnus Lomholt(Am)</t>
  </si>
  <si>
    <t>Mikkel Hjorth</t>
  </si>
  <si>
    <t>Anders Hornshoj</t>
  </si>
  <si>
    <t>Nicolai Rogen Jensen</t>
  </si>
  <si>
    <t>Mathias Baerholm(Am)</t>
  </si>
  <si>
    <t>Patrick Dam Schou</t>
  </si>
  <si>
    <t>Oskar Franck</t>
  </si>
  <si>
    <t>Alexander Garde</t>
  </si>
  <si>
    <t>Mikkel Bergmos</t>
  </si>
  <si>
    <t>Keen Bernberg</t>
  </si>
  <si>
    <t>Anton Wejshag</t>
  </si>
  <si>
    <t>Alexandre Widemann</t>
  </si>
  <si>
    <t>Mike Bedford</t>
  </si>
  <si>
    <t>Patrick Kopp</t>
  </si>
  <si>
    <t>Christian Larsson</t>
  </si>
  <si>
    <t>Meik Aagaard</t>
  </si>
  <si>
    <t>Jesper Alm</t>
  </si>
  <si>
    <t>Jeppe Kristian Andersen</t>
  </si>
  <si>
    <t>Axel Arinbjarnarson</t>
  </si>
  <si>
    <t>Mathias Ballard(Am)</t>
  </si>
  <si>
    <t>Otto Vanhatalo</t>
  </si>
  <si>
    <t>Eemil Alajarvi</t>
  </si>
  <si>
    <t>Peter Puhakka</t>
  </si>
  <si>
    <t>Sami Santala</t>
  </si>
  <si>
    <t>Winnie Soderholm</t>
  </si>
  <si>
    <t>Aleksi Seppanen</t>
  </si>
  <si>
    <t>Casper Simberg</t>
  </si>
  <si>
    <t>Keiichi Kaneko</t>
  </si>
  <si>
    <t>Shota Matsumoto</t>
  </si>
  <si>
    <t>Yuki Mitsuyoshi</t>
  </si>
  <si>
    <t>Go Suzuki</t>
  </si>
  <si>
    <t>Patrick Winther</t>
  </si>
  <si>
    <t>Alexandre Daydou</t>
  </si>
  <si>
    <t>Leo Lespinasse</t>
  </si>
  <si>
    <t>Juhana Kukkonen</t>
  </si>
  <si>
    <t>Henri Lahdenpera</t>
  </si>
  <si>
    <t>Mikko Lehtovuori</t>
  </si>
  <si>
    <t>Aleksi Linden(Am)</t>
  </si>
  <si>
    <t>Dani Neuvonen(Am)</t>
  </si>
  <si>
    <t>Ville Nykanen(Am)</t>
  </si>
  <si>
    <t>Simo Haavisto</t>
  </si>
  <si>
    <t>Niclas Hellberg</t>
  </si>
  <si>
    <t>Jani Hietanen</t>
  </si>
  <si>
    <t>Eetu Isometsa</t>
  </si>
  <si>
    <t>Roope Kangas</t>
  </si>
  <si>
    <t>Jesper Karlsson</t>
  </si>
  <si>
    <t>Rasmus Karlsson</t>
  </si>
  <si>
    <t>Mikko Kauniskangas</t>
  </si>
  <si>
    <t>Gustaf Kocken</t>
  </si>
  <si>
    <t>Jaewon Shin</t>
  </si>
  <si>
    <t>Yannik Paul</t>
  </si>
  <si>
    <t>Gaku Tsukamoto(Am)</t>
  </si>
  <si>
    <t>Chanwoo Kim(Nov-1999)</t>
  </si>
  <si>
    <t>Phanuvich Onchu</t>
  </si>
  <si>
    <t>Nathatchapong Tanon Puttipunpalit Teerasit</t>
  </si>
  <si>
    <t>Lee McCoy</t>
  </si>
  <si>
    <t>Carson Schaake</t>
  </si>
  <si>
    <t>Zach Steffen</t>
  </si>
  <si>
    <t>Takahiro Oba</t>
  </si>
  <si>
    <t>Takehiro Okada</t>
  </si>
  <si>
    <t>Petr Janik(Am)</t>
  </si>
  <si>
    <t>Garrett Rank</t>
  </si>
  <si>
    <t>Alister Balcombe</t>
  </si>
  <si>
    <t>Chris Evans(Feb1985)</t>
  </si>
  <si>
    <t>Gavin Hay</t>
  </si>
  <si>
    <t>Neil Henderson</t>
  </si>
  <si>
    <t>Komang Darmawan</t>
  </si>
  <si>
    <t>Junghan Kim(June1975)</t>
  </si>
  <si>
    <t>Clement Kurniawan</t>
  </si>
  <si>
    <t>Ketut Sandiarta</t>
  </si>
  <si>
    <t>MinSub Sim</t>
  </si>
  <si>
    <t>Joe Heraty</t>
  </si>
  <si>
    <t>Luke Jackson</t>
  </si>
  <si>
    <t>Phillip Kelly</t>
  </si>
  <si>
    <t>Sam Kiloh</t>
  </si>
  <si>
    <t>Alastair Kinnaird</t>
  </si>
  <si>
    <t>Kyson Lloyd</t>
  </si>
  <si>
    <t>Liam Murray</t>
  </si>
  <si>
    <t>Paul Nessling</t>
  </si>
  <si>
    <t>Greg Payne</t>
  </si>
  <si>
    <t>Sam Robertshawe</t>
  </si>
  <si>
    <t>Liam Robinson</t>
  </si>
  <si>
    <t>Michael Skelton</t>
  </si>
  <si>
    <t>Daanyal Spalding</t>
  </si>
  <si>
    <t>PAK</t>
  </si>
  <si>
    <t>Josh Walsh</t>
  </si>
  <si>
    <t>James Wilkinson</t>
  </si>
  <si>
    <t>Corey Pereira</t>
  </si>
  <si>
    <t>Alvaro Hernandez Cabezuela(Am</t>
  </si>
  <si>
    <t>Javier Poladura(am)</t>
  </si>
  <si>
    <t>Samuel Santana Garcia</t>
  </si>
  <si>
    <t>Mark Young</t>
  </si>
  <si>
    <t>Brian Casey</t>
  </si>
  <si>
    <t>Miles Collins</t>
  </si>
  <si>
    <t>Luke Cornford</t>
  </si>
  <si>
    <t>Sam Crowther</t>
  </si>
  <si>
    <t>John Duff</t>
  </si>
  <si>
    <t>Connor Fletcher</t>
  </si>
  <si>
    <t>Curtis Griffiths</t>
  </si>
  <si>
    <t>Md Delwar Hossain Dilu</t>
  </si>
  <si>
    <t>Md Dulal Hossain</t>
  </si>
  <si>
    <t>Md Jakiruzzaman Jakir</t>
  </si>
  <si>
    <t>Md Robin Miah</t>
  </si>
  <si>
    <t>Taehyeong Jang</t>
  </si>
  <si>
    <t>Wen Cheng Hsiang</t>
  </si>
  <si>
    <t>Austin Connelly</t>
  </si>
  <si>
    <t>Nicolas Wade</t>
  </si>
  <si>
    <t>Cyril Suk</t>
  </si>
  <si>
    <t>Md Liton Hawlader</t>
  </si>
  <si>
    <t>Tomoya Takemura</t>
  </si>
  <si>
    <t>Lin Wei</t>
  </si>
  <si>
    <t>David Shen</t>
  </si>
  <si>
    <t>Hiroya Kubota</t>
  </si>
  <si>
    <t>Kazumasa Matsuda</t>
  </si>
  <si>
    <t>Koki Saka(am)</t>
  </si>
  <si>
    <t>Taiga Semikawa</t>
  </si>
  <si>
    <t>Zachary Edmondson</t>
  </si>
  <si>
    <t>Matt F Hansen</t>
  </si>
  <si>
    <t>Joseph Harrison</t>
  </si>
  <si>
    <t>Paul McConnell</t>
  </si>
  <si>
    <t>Logan McCracken</t>
  </si>
  <si>
    <t>Blake Olson</t>
  </si>
  <si>
    <t>Md Ismail</t>
  </si>
  <si>
    <t>Md Nur Jamal</t>
  </si>
  <si>
    <t>Md Rezaul Karim</t>
  </si>
  <si>
    <t>Md Abdul Matin</t>
  </si>
  <si>
    <t>Dil Mohammad</t>
  </si>
  <si>
    <t>Mohammad Musa</t>
  </si>
  <si>
    <t>Md Nazim</t>
  </si>
  <si>
    <t>Md. Panna</t>
  </si>
  <si>
    <t>Md Sagor</t>
  </si>
  <si>
    <t>Md S Shahid</t>
  </si>
  <si>
    <t>Araf Shardd</t>
  </si>
  <si>
    <t>Md. Zia</t>
  </si>
  <si>
    <t>Rich Berberian, Jr.</t>
  </si>
  <si>
    <t>Cole Hammer</t>
  </si>
  <si>
    <t>Yente Van Doren</t>
  </si>
  <si>
    <t>Shawn Tipton</t>
  </si>
  <si>
    <t>Paul San</t>
  </si>
  <si>
    <t>Mikel Martinson</t>
  </si>
  <si>
    <t>Jonathan Khan</t>
  </si>
  <si>
    <t>Chaiphat Thummanoon Koonmark</t>
  </si>
  <si>
    <t>Zachary Bauchou</t>
  </si>
  <si>
    <t>Curtis Reed</t>
  </si>
  <si>
    <t>Jonathan Ruiz</t>
  </si>
  <si>
    <t>Sam Saunders(Mar1992)</t>
  </si>
  <si>
    <t>Michael Schoolcraft</t>
  </si>
  <si>
    <t>Tom E Moore</t>
  </si>
  <si>
    <t>Joel Thelen</t>
  </si>
  <si>
    <t>Cao Tommy Senshou(Am)</t>
  </si>
  <si>
    <t>Md Shahabuddin Ahmed</t>
  </si>
  <si>
    <t>Felix Kvarnstrom(AM)</t>
  </si>
  <si>
    <t>Raffaele Benatti</t>
  </si>
  <si>
    <t>Josh Loughrey</t>
  </si>
  <si>
    <t>Neal Woernhard</t>
  </si>
  <si>
    <t>Gavin Vorster</t>
  </si>
  <si>
    <t>Jinhyeong Baek</t>
  </si>
  <si>
    <t>Daewoong Bae</t>
  </si>
  <si>
    <t>Thongpipat Rattanayanon(Am)</t>
  </si>
  <si>
    <t>Wolfang Pedal</t>
  </si>
  <si>
    <t>Austin Bautista</t>
  </si>
  <si>
    <t>Jongbeom Jung</t>
  </si>
  <si>
    <t>Matthew Lisk</t>
  </si>
  <si>
    <t>Rozaini Rosli</t>
  </si>
  <si>
    <t>Shane Kuiti</t>
  </si>
  <si>
    <t>Colin Banham</t>
  </si>
  <si>
    <t>Torie Blakemore</t>
  </si>
  <si>
    <t>Vorapop Chaipipat</t>
  </si>
  <si>
    <t>Supakom Meesom</t>
  </si>
  <si>
    <t>Kammalas Namuangruk</t>
  </si>
  <si>
    <t>Taiki Yoshida</t>
  </si>
  <si>
    <t>Mukhtar Alwi</t>
  </si>
  <si>
    <t>Gabriel Cheok</t>
  </si>
  <si>
    <t>Nuralif Mohd Zahari(Am)</t>
  </si>
  <si>
    <t>Muhd Izzat Safuan</t>
  </si>
  <si>
    <t>John Boulton</t>
  </si>
  <si>
    <t>Cooper Geddes</t>
  </si>
  <si>
    <t>Joshua Greer(Am)</t>
  </si>
  <si>
    <t>Calum Juniper</t>
  </si>
  <si>
    <t>Simon Liddell(Am)</t>
  </si>
  <si>
    <t>Joseph Owen(Am)</t>
  </si>
  <si>
    <t>Tomas Beitia</t>
  </si>
  <si>
    <t>Louis Cohen-Boyer</t>
  </si>
  <si>
    <t>Cristian Peralta</t>
  </si>
  <si>
    <t>ANZ</t>
  </si>
  <si>
    <t>James Conran(Am)</t>
  </si>
  <si>
    <t>Bradley Doherty</t>
  </si>
  <si>
    <t>Jordan Garner(Am)</t>
  </si>
  <si>
    <t>Joshua Ingram</t>
  </si>
  <si>
    <t>Young Park</t>
  </si>
  <si>
    <t>Toby Walker(Am)</t>
  </si>
  <si>
    <t>Jamal Allali</t>
  </si>
  <si>
    <t>Omar Arzraf</t>
  </si>
  <si>
    <t>Karim Ballouti</t>
  </si>
  <si>
    <t>Mohamed Belaroussia</t>
  </si>
  <si>
    <t>Reda Chanane(Am)</t>
  </si>
  <si>
    <t>Abdelali Channane(Am)</t>
  </si>
  <si>
    <t>Mohamed El Khallali(Am)</t>
  </si>
  <si>
    <t>Amine El Malki</t>
  </si>
  <si>
    <t>Samba Niang</t>
  </si>
  <si>
    <t>SEN</t>
  </si>
  <si>
    <t>Pierre-Henri Philippe</t>
  </si>
  <si>
    <t>Rayhan Thomas(Am)</t>
  </si>
  <si>
    <t>Adrien Teo</t>
  </si>
  <si>
    <t>Konrad Ciupek(Am)</t>
  </si>
  <si>
    <t>Will Heffernan</t>
  </si>
  <si>
    <t>Lachlan McDonald</t>
  </si>
  <si>
    <t>Marcus Low Khai Loon</t>
  </si>
  <si>
    <t>Kyaw Thet Oo</t>
  </si>
  <si>
    <t>Karabo Mokoena(AM)</t>
  </si>
  <si>
    <t>Jason Viljoen</t>
  </si>
  <si>
    <t>Lars Buijs</t>
  </si>
  <si>
    <t>Zeno Felder</t>
  </si>
  <si>
    <t>Robert Molnar</t>
  </si>
  <si>
    <t>Roman Sebrle</t>
  </si>
  <si>
    <t>Maged abdel Tawab (Am)</t>
  </si>
  <si>
    <t>EGY</t>
  </si>
  <si>
    <t>Abdul Hadi</t>
  </si>
  <si>
    <t>Chanhsavang Lexus Keoninh</t>
  </si>
  <si>
    <t>James Leow Kwang Aik(Am)</t>
  </si>
  <si>
    <t>John O'Toole</t>
  </si>
  <si>
    <t>Nicolas Maruri</t>
  </si>
  <si>
    <t>Cristian Romero</t>
  </si>
  <si>
    <t>Masaki Morikawa</t>
  </si>
  <si>
    <t>Bai Xiangrui(Am)</t>
  </si>
  <si>
    <t>Wang Yanzhang(Am)</t>
  </si>
  <si>
    <t>Zhang Wen</t>
  </si>
  <si>
    <t>Eric Hallberg</t>
  </si>
  <si>
    <t>Marco Archetti</t>
  </si>
  <si>
    <t>Guglielmo Bravetti</t>
  </si>
  <si>
    <t>Andrea Cavallaro</t>
  </si>
  <si>
    <t>Andrea Saracino</t>
  </si>
  <si>
    <t>Riccardo Valeri</t>
  </si>
  <si>
    <t>Han Yuting(Am)</t>
  </si>
  <si>
    <t>Liang Enqi</t>
  </si>
  <si>
    <t>Xu Guozhen</t>
  </si>
  <si>
    <t>Yusuke Sakamoto</t>
  </si>
  <si>
    <t>Column1</t>
  </si>
  <si>
    <t>Column2</t>
  </si>
  <si>
    <t>Column3</t>
  </si>
  <si>
    <t>Major Top Tens</t>
  </si>
  <si>
    <t>Top Tens</t>
  </si>
  <si>
    <t>RBC Canadian Open</t>
  </si>
  <si>
    <t>Genesis Scottish Open</t>
  </si>
  <si>
    <t>FedEx St. Jude Championship</t>
  </si>
  <si>
    <t>Seumas</t>
  </si>
  <si>
    <t>Kevan</t>
  </si>
  <si>
    <t>FUCHSPANSION PASS</t>
  </si>
  <si>
    <t>MULLIGAN</t>
  </si>
  <si>
    <t>KONKEL EXPLOSION</t>
  </si>
  <si>
    <t>Player was not on Manager's roster</t>
  </si>
  <si>
    <t>Player was not started</t>
  </si>
  <si>
    <t>- Indicates player did not play that week</t>
  </si>
  <si>
    <t>Schedule Notes</t>
  </si>
  <si>
    <t>Modifier Legend</t>
  </si>
  <si>
    <t>MOVES REMAINING</t>
  </si>
  <si>
    <t>LIV</t>
  </si>
  <si>
    <t>4th</t>
  </si>
  <si>
    <t>5th</t>
  </si>
  <si>
    <t>Roster Freeze begins Week 29</t>
  </si>
  <si>
    <t xml:space="preserve">   </t>
  </si>
  <si>
    <t>0.56-0.6</t>
  </si>
  <si>
    <t>0.46-0.48</t>
  </si>
  <si>
    <t>0.32-0.33</t>
  </si>
  <si>
    <t>0.24-0.26</t>
  </si>
  <si>
    <t>0.16-0.2</t>
  </si>
  <si>
    <t>0.08-0.13</t>
  </si>
  <si>
    <t>0.04-0.06</t>
  </si>
  <si>
    <t>Position</t>
  </si>
  <si>
    <t>The Sentry</t>
  </si>
  <si>
    <t>Mexico Open at Vidanta</t>
  </si>
  <si>
    <t>Cognizant Classic</t>
  </si>
  <si>
    <t>The PLAYERS Championship</t>
  </si>
  <si>
    <t>Texas Children's Houston Open</t>
  </si>
  <si>
    <t>The Masters Tournament</t>
  </si>
  <si>
    <t>Lilia Vu</t>
  </si>
  <si>
    <t>Celine Boutier</t>
  </si>
  <si>
    <t>Minjee Lee</t>
  </si>
  <si>
    <t>Brooke Henderson</t>
  </si>
  <si>
    <t>Lydia Ko</t>
  </si>
  <si>
    <t>Nelly Korda</t>
  </si>
  <si>
    <t>Charley Hull</t>
  </si>
  <si>
    <t>Ruoning Yin</t>
  </si>
  <si>
    <t>Rose Zhang</t>
  </si>
  <si>
    <t>Nasa Hataoka</t>
  </si>
  <si>
    <t>Yuka Saso</t>
  </si>
  <si>
    <t>Xiyu Lin</t>
  </si>
  <si>
    <t>Megan Khang</t>
  </si>
  <si>
    <t>Linn Grant</t>
  </si>
  <si>
    <t>Maja Stark</t>
  </si>
  <si>
    <t>Amy Yang</t>
  </si>
  <si>
    <t>https://www.cbssports.com/golf/leaderboard/pga-tour/</t>
  </si>
  <si>
    <t>4th Season</t>
  </si>
  <si>
    <t>6th Season</t>
  </si>
  <si>
    <t>16th Season</t>
  </si>
  <si>
    <t>14th Season</t>
  </si>
  <si>
    <t>12th Season</t>
  </si>
  <si>
    <t>10th Season</t>
  </si>
  <si>
    <t>Jan 2 - 5</t>
  </si>
  <si>
    <t>Jan 9 - 12</t>
  </si>
  <si>
    <t>Jan 16 - 19</t>
  </si>
  <si>
    <t>Jan 22 - 25</t>
  </si>
  <si>
    <t>Jan 30 - Feb 2</t>
  </si>
  <si>
    <t>Feb 6 - 9</t>
  </si>
  <si>
    <t>Feb 13 - 16</t>
  </si>
  <si>
    <t>Feb 20 - 23</t>
  </si>
  <si>
    <t>Feb 27 - Mar 2</t>
  </si>
  <si>
    <t>Mar 6 - 9</t>
  </si>
  <si>
    <t>Mar 13 - 16</t>
  </si>
  <si>
    <t>Mar 20 - 23</t>
  </si>
  <si>
    <t>Mar 27 - 30</t>
  </si>
  <si>
    <t>Apr 3 - 6</t>
  </si>
  <si>
    <t>Apr 10 - 13</t>
  </si>
  <si>
    <t>Apr 17 - 20</t>
  </si>
  <si>
    <t>Apr 24 - 27</t>
  </si>
  <si>
    <t>May 1 - 4</t>
  </si>
  <si>
    <t>The CJ Cup Byron Nelson</t>
  </si>
  <si>
    <t>May 8 - 11</t>
  </si>
  <si>
    <t>Truist Championship</t>
  </si>
  <si>
    <t>May 15 - 18</t>
  </si>
  <si>
    <t>May 22 - 25</t>
  </si>
  <si>
    <t>May 29 - Jun 1</t>
  </si>
  <si>
    <t>Jun 5 - 8</t>
  </si>
  <si>
    <t>Jun 12 - 15</t>
  </si>
  <si>
    <t>Jun 19 - 22</t>
  </si>
  <si>
    <t>Jun 26 - 29</t>
  </si>
  <si>
    <t>Jul 3 - 6</t>
  </si>
  <si>
    <t>Jul 10 - 13</t>
  </si>
  <si>
    <t>Jul 17 - 20</t>
  </si>
  <si>
    <t>Jul 24 - 27</t>
  </si>
  <si>
    <t>Jul 31 - Aug 3</t>
  </si>
  <si>
    <t>Aug 7 - 10</t>
  </si>
  <si>
    <t>Aug 14 - 17</t>
  </si>
  <si>
    <t>Aug 21 - 24</t>
  </si>
  <si>
    <t>LIV Keepers</t>
  </si>
  <si>
    <t>PGA Keepers</t>
  </si>
  <si>
    <t>Jon Mark (Lawrence)</t>
  </si>
  <si>
    <t>Lawrence (Jon Mark)</t>
  </si>
  <si>
    <t>Kevan (Beast)</t>
  </si>
  <si>
    <t>Beast (Kevan)</t>
  </si>
  <si>
    <t>Justin Thomas</t>
  </si>
  <si>
    <t>Tommy Fleetwood</t>
  </si>
  <si>
    <t>Brooks Koepka</t>
  </si>
  <si>
    <t>Max Homa</t>
  </si>
  <si>
    <t>Viktor Hovland</t>
  </si>
  <si>
    <t>Joaquin Niemann</t>
  </si>
  <si>
    <t>Jason Day</t>
  </si>
  <si>
    <t>Hideki Matsuyama</t>
  </si>
  <si>
    <t>Abraham Ancer</t>
  </si>
  <si>
    <t>Xander Schauffele</t>
  </si>
  <si>
    <t>Sam Burns</t>
  </si>
  <si>
    <t>Collin Morikawa</t>
  </si>
  <si>
    <t>Tony Finau</t>
  </si>
  <si>
    <t>Patrick Cantlay</t>
  </si>
  <si>
    <t>Will Zalatoris</t>
  </si>
  <si>
    <t>Phil Mickelson</t>
  </si>
  <si>
    <t>Scottie Scheffler</t>
  </si>
  <si>
    <t>Rory McIlroy</t>
  </si>
  <si>
    <t>Wyndham Clark</t>
  </si>
  <si>
    <t>Tyrrell Hatton</t>
  </si>
  <si>
    <t>Ludvig Aberg</t>
  </si>
  <si>
    <t>Cameron Smith</t>
  </si>
  <si>
    <t>Global Superstar Tom Kim</t>
  </si>
  <si>
    <t>Jordan Spieth</t>
  </si>
  <si>
    <t>Bryson DeChambeau</t>
  </si>
  <si>
    <t>Jeeno Thitikul</t>
  </si>
  <si>
    <t>Hannah Green</t>
  </si>
  <si>
    <t>Haeran Ryu</t>
  </si>
  <si>
    <t>Ayaka Furue</t>
  </si>
  <si>
    <t>Jin Young Ko</t>
  </si>
  <si>
    <t>Miyu Yamashita</t>
  </si>
  <si>
    <t>Rio Takeda</t>
  </si>
  <si>
    <t>Ally Ewing</t>
  </si>
  <si>
    <t>Lauren Caughlin</t>
  </si>
  <si>
    <t>Esther Henseleit</t>
  </si>
  <si>
    <t>Ji Yai Shin</t>
  </si>
  <si>
    <t>Sei Young Kim</t>
  </si>
  <si>
    <t>Angel Yin</t>
  </si>
  <si>
    <t>Hyojoo Kim</t>
  </si>
  <si>
    <t>Sergio Garcia</t>
  </si>
  <si>
    <t>Louis Oosthuizen</t>
  </si>
  <si>
    <t>Patrick Reed</t>
  </si>
  <si>
    <t>Paul Casey</t>
  </si>
  <si>
    <t>Talor Gooch</t>
  </si>
  <si>
    <t>Matt Wolff</t>
  </si>
  <si>
    <t>Dean Burmester</t>
  </si>
  <si>
    <t>Carlos Ortiz</t>
  </si>
  <si>
    <t>Charl Schwartzel</t>
  </si>
  <si>
    <t>Bubba Watson</t>
  </si>
  <si>
    <t>Marc Leishman</t>
  </si>
  <si>
    <t>Russell Henley</t>
  </si>
  <si>
    <t>Billy Horschel</t>
  </si>
  <si>
    <t>Adam Scott</t>
  </si>
  <si>
    <t>Keegan Bradley</t>
  </si>
  <si>
    <t>Corey Conners</t>
  </si>
  <si>
    <t>Shane Lowry</t>
  </si>
  <si>
    <t>Maverick McNealy</t>
  </si>
  <si>
    <t>Robert MacIntyre</t>
  </si>
  <si>
    <t>Aaron Rai</t>
  </si>
  <si>
    <t>Matthieu Pavon</t>
  </si>
  <si>
    <t>Brian Harman</t>
  </si>
  <si>
    <t>Cameron Young</t>
  </si>
  <si>
    <t>Davis Thompson</t>
  </si>
  <si>
    <t>Thomas Detry</t>
  </si>
  <si>
    <t>Matt Fitzpatrick</t>
  </si>
  <si>
    <t>Tom Hoge</t>
  </si>
  <si>
    <t>Rasmus Hojgaard</t>
  </si>
  <si>
    <t>Chris Kirk</t>
  </si>
  <si>
    <t>Denny McCarthy</t>
  </si>
  <si>
    <t>Si Woo Kim</t>
  </si>
  <si>
    <t>Sepp Straka</t>
  </si>
  <si>
    <t>Max Greyserman</t>
  </si>
  <si>
    <t>Nick Dunlap</t>
  </si>
  <si>
    <t>Justin Rose</t>
  </si>
  <si>
    <t>Adam Hadwin</t>
  </si>
  <si>
    <t>Austin Eckroat</t>
  </si>
  <si>
    <t>Taylor Pendrith</t>
  </si>
  <si>
    <t>Alex Noren</t>
  </si>
  <si>
    <t>Christiaan Bezuidenhout</t>
  </si>
  <si>
    <t>J.T. Poston</t>
  </si>
  <si>
    <t>Cam Davis</t>
  </si>
  <si>
    <t>Min Woo Lee</t>
  </si>
  <si>
    <t>Luke Clanton</t>
  </si>
  <si>
    <t>Kurt Kitayama</t>
  </si>
  <si>
    <t>Harris English</t>
  </si>
  <si>
    <t>Mackenzie Hughes</t>
  </si>
  <si>
    <t>Thorbjorn Oleson</t>
  </si>
  <si>
    <t>Nick Taylor</t>
  </si>
  <si>
    <t>Ben Griffin</t>
  </si>
  <si>
    <t>Nico Echavarria</t>
  </si>
  <si>
    <t>Daniel Berger</t>
  </si>
  <si>
    <t>Harry Hall</t>
  </si>
  <si>
    <t>Thriston Lawrence</t>
  </si>
  <si>
    <t>Taylor Moore</t>
  </si>
  <si>
    <t>Eric Cole</t>
  </si>
  <si>
    <t>Charley Hoffman</t>
  </si>
  <si>
    <t>Patrick Rodgers</t>
  </si>
  <si>
    <t>Peter Malnati</t>
  </si>
  <si>
    <t>Nicolai Hojgaard</t>
  </si>
  <si>
    <t>Andrew Putnam</t>
  </si>
  <si>
    <t>Rickie Fowler</t>
  </si>
  <si>
    <t>Patrick Fishburn</t>
  </si>
  <si>
    <t>Michael Thorbjornsen</t>
  </si>
  <si>
    <t>Mark Hubbard</t>
  </si>
  <si>
    <t>Doug Ghim</t>
  </si>
  <si>
    <t>Keith Mitchell</t>
  </si>
  <si>
    <t>Matt Wallace</t>
  </si>
  <si>
    <t>Frankie Capan III</t>
  </si>
  <si>
    <t>Beau Hossler</t>
  </si>
  <si>
    <t>Jake Knapp</t>
  </si>
  <si>
    <t>Seamus Power</t>
  </si>
  <si>
    <t>Jhonattan Vegas</t>
  </si>
  <si>
    <t>Matt Kuchar</t>
  </si>
  <si>
    <t>Ryo Hisatsune</t>
  </si>
  <si>
    <t>Lee Hodges</t>
  </si>
  <si>
    <t>Adam Svensson</t>
  </si>
  <si>
    <t>Joel Dahmen</t>
  </si>
  <si>
    <t>Andrew Novak</t>
  </si>
  <si>
    <t>Matt McCarty</t>
  </si>
  <si>
    <t>Max McGreevy</t>
  </si>
  <si>
    <t>Alejandro Tosti</t>
  </si>
  <si>
    <t>Sam Stevens</t>
  </si>
  <si>
    <t>J.J. Spaun</t>
  </si>
  <si>
    <t>Victor Perez</t>
  </si>
  <si>
    <t>Neal Shipley</t>
  </si>
  <si>
    <t>Tom Kim</t>
  </si>
  <si>
    <t>ZAF</t>
  </si>
  <si>
    <t>CHL</t>
  </si>
  <si>
    <t>David Lipsky</t>
  </si>
  <si>
    <t>Sungjae Im</t>
  </si>
  <si>
    <t>Byeong Hun An</t>
  </si>
  <si>
    <t>Stephan Jaeger</t>
  </si>
  <si>
    <t>Jan. 3</t>
  </si>
  <si>
    <t>Mac Meissner</t>
  </si>
  <si>
    <t>Frankie Capan</t>
  </si>
  <si>
    <t>Luke Clanton(a)</t>
  </si>
  <si>
    <t>Erik Van Rooyen</t>
  </si>
  <si>
    <t>STANDINGS</t>
  </si>
  <si>
    <t>Aldrich Potgieter</t>
  </si>
  <si>
    <t>Feb. 22</t>
  </si>
  <si>
    <t>Jun. 6</t>
  </si>
  <si>
    <t>1 Konkel</t>
  </si>
  <si>
    <t>1 Mulligan</t>
  </si>
  <si>
    <t>Chris Gotterup</t>
  </si>
  <si>
    <t>Brian Campbell</t>
  </si>
  <si>
    <t>Jul. 15</t>
  </si>
  <si>
    <t>1</t>
  </si>
  <si>
    <t>64</t>
  </si>
  <si>
    <t>63</t>
  </si>
  <si>
    <t>67</t>
  </si>
  <si>
    <t>68</t>
  </si>
  <si>
    <t>262</t>
  </si>
  <si>
    <t>-15</t>
  </si>
  <si>
    <t>61</t>
  </si>
  <si>
    <t>66</t>
  </si>
  <si>
    <t>69</t>
  </si>
  <si>
    <t>265</t>
  </si>
  <si>
    <t>71</t>
  </si>
  <si>
    <t>-14</t>
  </si>
  <si>
    <t>70</t>
  </si>
  <si>
    <t>62</t>
  </si>
  <si>
    <t>266</t>
  </si>
  <si>
    <t>T7</t>
  </si>
  <si>
    <t>-13</t>
  </si>
  <si>
    <t>65</t>
  </si>
  <si>
    <t>267</t>
  </si>
  <si>
    <t>T10</t>
  </si>
  <si>
    <t>-12</t>
  </si>
  <si>
    <t>268</t>
  </si>
  <si>
    <t>12</t>
  </si>
  <si>
    <t>-11</t>
  </si>
  <si>
    <t>269</t>
  </si>
  <si>
    <t>T13</t>
  </si>
  <si>
    <t>-10</t>
  </si>
  <si>
    <t>270</t>
  </si>
  <si>
    <t>T17</t>
  </si>
  <si>
    <t>-9</t>
  </si>
  <si>
    <t>271</t>
  </si>
  <si>
    <t>72</t>
  </si>
  <si>
    <t>T19</t>
  </si>
  <si>
    <t>-8</t>
  </si>
  <si>
    <t>272</t>
  </si>
  <si>
    <t>T21</t>
  </si>
  <si>
    <t>-7</t>
  </si>
  <si>
    <t>273</t>
  </si>
  <si>
    <t>T23</t>
  </si>
  <si>
    <t>-6</t>
  </si>
  <si>
    <t>274</t>
  </si>
  <si>
    <t>T25</t>
  </si>
  <si>
    <t>-4</t>
  </si>
  <si>
    <t>276</t>
  </si>
  <si>
    <t>T27</t>
  </si>
  <si>
    <t>E</t>
  </si>
  <si>
    <t>77</t>
  </si>
  <si>
    <t>280</t>
  </si>
  <si>
    <t>Jacob Bridgeman</t>
  </si>
  <si>
    <t>75</t>
  </si>
  <si>
    <t>29</t>
  </si>
  <si>
    <t>+3</t>
  </si>
  <si>
    <t>76</t>
  </si>
  <si>
    <t>283</t>
  </si>
  <si>
    <t>30</t>
  </si>
  <si>
    <t>+7</t>
  </si>
  <si>
    <t>74</t>
  </si>
  <si>
    <t>287</t>
  </si>
  <si>
    <t>2025 Ryder Cup Challenge</t>
  </si>
  <si>
    <t>N/A</t>
  </si>
  <si>
    <t>Tier 1 (16)</t>
  </si>
  <si>
    <t>Tier 2 (7)</t>
  </si>
  <si>
    <t>Tier 3 (7)</t>
  </si>
  <si>
    <t>Tier 4 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</si>
</sst>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_);[Red]\(&quot;$&quot;#,##0\)"/>
    <numFmt numFmtId="165" formatCode="0.0"/>
    <numFmt numFmtId="166" formatCode="0.00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Montserrat"/>
    </font>
    <font>
      <sz val="11"/>
      <color theme="1"/>
      <name val="IBM Plex"/>
    </font>
    <font>
      <b/>
      <sz val="48"/>
      <color theme="1"/>
      <name val="IBM Plex"/>
    </font>
    <font>
      <b/>
      <sz val="16"/>
      <name val="IBM Plex"/>
    </font>
    <font>
      <b/>
      <sz val="14"/>
      <name val="IBM Plex"/>
    </font>
    <font>
      <sz val="12"/>
      <name val="IBM Plex"/>
    </font>
    <font>
      <sz val="12"/>
      <color theme="1"/>
      <name val="IBM Plex"/>
    </font>
    <font>
      <sz val="14"/>
      <name val="IBM Plex"/>
    </font>
    <font>
      <sz val="11"/>
      <name val="IBM Plex"/>
    </font>
    <font>
      <b/>
      <sz val="22"/>
      <name val="IBM Plex"/>
    </font>
    <font>
      <sz val="18"/>
      <name val="IBM Plex"/>
    </font>
    <font>
      <sz val="18"/>
      <color theme="1"/>
      <name val="IBM Plex"/>
    </font>
    <font>
      <b/>
      <sz val="22"/>
      <color theme="1"/>
      <name val="IBM Plex"/>
    </font>
    <font>
      <b/>
      <sz val="18"/>
      <color theme="1"/>
      <name val="IBM Plex"/>
    </font>
    <font>
      <b/>
      <sz val="28"/>
      <color theme="1"/>
      <name val="IBM Plex"/>
    </font>
    <font>
      <sz val="16"/>
      <color theme="1"/>
      <name val="IBM Plex"/>
    </font>
    <font>
      <sz val="16"/>
      <name val="IBM Plex"/>
    </font>
    <font>
      <b/>
      <sz val="11"/>
      <color theme="1"/>
      <name val="IBM Plex"/>
    </font>
    <font>
      <sz val="13"/>
      <color theme="1"/>
      <name val="IBM Plex"/>
    </font>
    <font>
      <sz val="14"/>
      <color theme="1"/>
      <name val="IBM Plex"/>
    </font>
    <font>
      <sz val="11"/>
      <color theme="1"/>
      <name val="IBM Plex "/>
    </font>
    <font>
      <b/>
      <sz val="48"/>
      <color theme="1"/>
      <name val="IBM Plex "/>
    </font>
    <font>
      <b/>
      <sz val="20"/>
      <name val="IBM Plex "/>
    </font>
    <font>
      <b/>
      <sz val="13"/>
      <name val="IBM Plex "/>
    </font>
    <font>
      <b/>
      <sz val="14"/>
      <color theme="1"/>
      <name val="IBM Plex "/>
    </font>
    <font>
      <b/>
      <sz val="16"/>
      <name val="IBM Plex "/>
    </font>
    <font>
      <b/>
      <sz val="12"/>
      <name val="IBM Plex "/>
    </font>
    <font>
      <b/>
      <sz val="12"/>
      <color theme="1"/>
      <name val="IBM Plex "/>
    </font>
    <font>
      <b/>
      <sz val="14"/>
      <name val="IBM Plex "/>
    </font>
    <font>
      <sz val="13"/>
      <name val="IBM Plex "/>
    </font>
    <font>
      <sz val="12"/>
      <name val="IBM Plex "/>
    </font>
    <font>
      <sz val="12"/>
      <color theme="1"/>
      <name val="IBM Plex "/>
    </font>
    <font>
      <sz val="14"/>
      <name val="IBM Plex "/>
    </font>
    <font>
      <b/>
      <u/>
      <sz val="12"/>
      <color theme="1"/>
      <name val="IBM Plex "/>
    </font>
    <font>
      <sz val="11"/>
      <name val="IBM Plex "/>
    </font>
    <font>
      <sz val="11"/>
      <name val="Calibri"/>
      <family val="2"/>
      <scheme val="minor"/>
    </font>
    <font>
      <sz val="20"/>
      <color rgb="FFFF9393"/>
      <name val="IBM Plex"/>
    </font>
    <font>
      <sz val="20"/>
      <color rgb="FFFAACE9"/>
      <name val="IBM Plex"/>
    </font>
    <font>
      <sz val="20"/>
      <color rgb="FF6E95E4"/>
      <name val="IBM Plex"/>
    </font>
    <font>
      <sz val="20"/>
      <color rgb="FFF9B073"/>
      <name val="IBM Plex"/>
    </font>
    <font>
      <sz val="20"/>
      <color rgb="FF88E4E2"/>
      <name val="IBM Plex"/>
    </font>
    <font>
      <sz val="20"/>
      <color rgb="FF89FF94"/>
      <name val="IBM Plex"/>
    </font>
    <font>
      <sz val="20"/>
      <color rgb="FFFFFFA3"/>
      <name val="IBM Plex"/>
    </font>
    <font>
      <sz val="20"/>
      <color rgb="FFCFAAF4"/>
      <name val="IBM Plex"/>
    </font>
    <font>
      <sz val="22"/>
      <color rgb="FFF890E2"/>
      <name val="IBM Plex"/>
    </font>
    <font>
      <b/>
      <i/>
      <sz val="28"/>
      <color rgb="FFF890E2"/>
      <name val="IBM Plex"/>
    </font>
    <font>
      <sz val="11"/>
      <color theme="1"/>
      <name val="Calibri"/>
      <family val="2"/>
      <scheme val="minor"/>
    </font>
    <font>
      <b/>
      <sz val="18"/>
      <name val="IBM Plex"/>
    </font>
    <font>
      <b/>
      <sz val="20"/>
      <name val="IBM Plex"/>
    </font>
    <font>
      <sz val="20"/>
      <name val="IBM Plex"/>
    </font>
    <font>
      <sz val="20"/>
      <color theme="1"/>
      <name val="IBM Plex"/>
    </font>
    <font>
      <b/>
      <sz val="20"/>
      <color theme="1"/>
      <name val="IBM Plex"/>
    </font>
    <font>
      <b/>
      <sz val="13"/>
      <color theme="1"/>
      <name val="IBM Plex "/>
    </font>
    <font>
      <sz val="20"/>
      <color rgb="FFB7D5F7"/>
      <name val="IBM Plex"/>
    </font>
    <font>
      <sz val="20"/>
      <color rgb="FF84ECAC"/>
      <name val="IBM Plex"/>
    </font>
    <font>
      <b/>
      <sz val="16"/>
      <color theme="1"/>
      <name val="IBM Plex "/>
    </font>
    <font>
      <b/>
      <sz val="16"/>
      <color theme="0"/>
      <name val="IBM Plex"/>
    </font>
    <font>
      <b/>
      <sz val="11"/>
      <color theme="1"/>
      <name val="IBM Plex "/>
    </font>
    <font>
      <b/>
      <u/>
      <sz val="22"/>
      <color theme="1"/>
      <name val="IBM Plex"/>
    </font>
    <font>
      <b/>
      <sz val="26"/>
      <color theme="1"/>
      <name val="IBM Plex"/>
    </font>
    <font>
      <b/>
      <u/>
      <sz val="16"/>
      <name val="IBM Plex"/>
    </font>
    <font>
      <sz val="13"/>
      <color theme="1"/>
      <name val="IBM Plex "/>
    </font>
    <font>
      <b/>
      <u/>
      <sz val="13"/>
      <color theme="1"/>
      <name val="IBM Plex 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IBM Plex"/>
    </font>
    <font>
      <sz val="12"/>
      <color theme="0"/>
      <name val="IBM Plex "/>
    </font>
    <font>
      <b/>
      <sz val="12"/>
      <color theme="0"/>
      <name val="IBM Plex "/>
    </font>
    <font>
      <b/>
      <sz val="16"/>
      <color rgb="FF009E47"/>
      <name val="IBM Plex"/>
    </font>
    <font>
      <b/>
      <sz val="16"/>
      <color rgb="FFC00000"/>
      <name val="IBM Plex"/>
    </font>
  </fonts>
  <fills count="5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0E0E0"/>
        <bgColor indexed="64"/>
      </patternFill>
    </fill>
    <fill>
      <gradientFill degree="135">
        <stop position="0">
          <color rgb="FF94D89F"/>
        </stop>
        <stop position="0.5">
          <color rgb="FF46C671"/>
        </stop>
        <stop position="1">
          <color rgb="FF94D89F"/>
        </stop>
      </gradientFill>
    </fill>
    <fill>
      <patternFill patternType="solid">
        <fgColor theme="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1"/>
        </stop>
        <stop position="0.5">
          <color theme="1" tint="0.1490218817712943"/>
        </stop>
        <stop position="1">
          <color theme="1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DDB851"/>
        <bgColor indexed="64"/>
      </patternFill>
    </fill>
    <fill>
      <patternFill patternType="solid">
        <fgColor rgb="FFD69656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FFA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AACE9"/>
        <bgColor indexed="64"/>
      </patternFill>
    </fill>
    <fill>
      <gradientFill degree="90">
        <stop position="0">
          <color rgb="FFE6D3F9"/>
        </stop>
        <stop position="1">
          <color rgb="FFCFAAF4"/>
        </stop>
      </gradientFill>
    </fill>
    <fill>
      <gradientFill degree="90">
        <stop position="0">
          <color rgb="FFD5FFD9"/>
        </stop>
        <stop position="1">
          <color rgb="FF89FF94"/>
        </stop>
      </gradientFill>
    </fill>
    <fill>
      <gradientFill degree="90">
        <stop position="0">
          <color rgb="FFFDDFF7"/>
        </stop>
        <stop position="1">
          <color rgb="FFFAACE9"/>
        </stop>
      </gradientFill>
    </fill>
    <fill>
      <gradientFill degree="90">
        <stop position="0">
          <color rgb="FFFFFFD9"/>
        </stop>
        <stop position="1">
          <color rgb="FFFFFFA3"/>
        </stop>
      </gradientFill>
    </fill>
    <fill>
      <patternFill patternType="solid">
        <fgColor rgb="FFB7D5F7"/>
        <bgColor indexed="64"/>
      </patternFill>
    </fill>
    <fill>
      <gradientFill degree="90">
        <stop position="0">
          <color rgb="FFD1F7E9"/>
        </stop>
        <stop position="1">
          <color rgb="FF86EAC4"/>
        </stop>
      </gradientFill>
    </fill>
    <fill>
      <gradientFill degree="90">
        <stop position="0">
          <color rgb="FFE4EFFC"/>
        </stop>
        <stop position="1">
          <color rgb="FFB7D5F7"/>
        </stop>
      </gradientFill>
    </fill>
    <fill>
      <gradientFill degree="90">
        <stop position="0">
          <color rgb="FFFFC5C5"/>
        </stop>
        <stop position="1">
          <color rgb="FFFF9393"/>
        </stop>
      </gradientFill>
    </fill>
    <fill>
      <gradientFill degree="90">
        <stop position="0">
          <color rgb="FFFFE6C1"/>
        </stop>
        <stop position="1">
          <color rgb="FFFFC46D"/>
        </stop>
      </gradientFill>
    </fill>
    <fill>
      <gradientFill degree="90">
        <stop position="0">
          <color rgb="FFC2D7F6"/>
        </stop>
        <stop position="1">
          <color rgb="FF689DEA"/>
        </stop>
      </gradientFill>
    </fill>
    <fill>
      <gradientFill degree="90">
        <stop position="0">
          <color rgb="FFEED3B8"/>
        </stop>
        <stop position="1">
          <color rgb="FFD69656"/>
        </stop>
      </gradientFill>
    </fill>
    <fill>
      <gradientFill degree="90">
        <stop position="0">
          <color rgb="FFF0F0F0"/>
        </stop>
        <stop position="1">
          <color rgb="FFD1D1D1"/>
        </stop>
      </gradientFill>
    </fill>
    <fill>
      <gradientFill degree="90">
        <stop position="0">
          <color rgb="FFD6F6F5"/>
        </stop>
        <stop position="1">
          <color rgb="FF88E4E2"/>
        </stop>
      </gradientFill>
    </fill>
    <fill>
      <gradientFill degree="90">
        <stop position="0">
          <color rgb="FFEBD699"/>
        </stop>
        <stop position="1">
          <color rgb="FFDDB851"/>
        </stop>
      </gradientFill>
    </fill>
    <fill>
      <patternFill patternType="solid">
        <fgColor rgb="FFEBD699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ED3B8"/>
        <bgColor indexed="64"/>
      </patternFill>
    </fill>
    <fill>
      <patternFill patternType="solid">
        <fgColor rgb="FFFDDFF7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rgb="FFFFFFD9"/>
        <bgColor indexed="64"/>
      </patternFill>
    </fill>
    <fill>
      <patternFill patternType="solid">
        <fgColor rgb="FFE4EFFC"/>
        <bgColor indexed="64"/>
      </patternFill>
    </fill>
    <fill>
      <gradientFill degree="90">
        <stop position="0">
          <color rgb="FFFAACE9"/>
        </stop>
        <stop position="0.5">
          <color rgb="FFFDD7F5"/>
        </stop>
        <stop position="1">
          <color rgb="FFFAACE9"/>
        </stop>
      </gradientFill>
    </fill>
    <fill>
      <gradientFill degree="90">
        <stop position="0">
          <color rgb="FF2BD570"/>
        </stop>
        <stop position="0.5">
          <color rgb="FF92EAB6"/>
        </stop>
        <stop position="1">
          <color rgb="FF2BD570"/>
        </stop>
      </gradientFill>
    </fill>
    <fill>
      <gradientFill degree="90">
        <stop position="0">
          <color rgb="FFD2FADA"/>
        </stop>
        <stop position="1">
          <color rgb="FF48EA67"/>
        </stop>
      </gradientFill>
    </fill>
    <fill>
      <gradientFill degree="90">
        <stop position="0">
          <color rgb="FFC1D9FF"/>
        </stop>
        <stop position="1">
          <color rgb="FF5797FF"/>
        </stop>
      </gradientFill>
    </fill>
    <fill>
      <gradientFill degree="270">
        <stop position="0">
          <color rgb="FFBCBCBC"/>
        </stop>
        <stop position="1">
          <color rgb="FFE4E4E4"/>
        </stop>
      </gradientFill>
    </fill>
    <fill>
      <gradientFill degree="90">
        <stop position="0">
          <color rgb="FFFFD1DC"/>
        </stop>
        <stop position="1">
          <color rgb="FFFF5D84"/>
        </stop>
      </gradientFill>
    </fill>
    <fill>
      <gradientFill type="path" left="0.5" right="0.5" top="0.5" bottom="0.5">
        <stop position="0">
          <color rgb="FF2FC9FF"/>
        </stop>
        <stop position="1">
          <color theme="0"/>
        </stop>
      </gradientFill>
    </fill>
    <fill>
      <patternFill patternType="solid">
        <fgColor rgb="FFE6D3F9"/>
        <bgColor indexed="64"/>
      </patternFill>
    </fill>
    <fill>
      <patternFill patternType="solid">
        <fgColor rgb="FFCFAAF4"/>
        <bgColor indexed="64"/>
      </patternFill>
    </fill>
    <fill>
      <patternFill patternType="solid">
        <fgColor rgb="FFD6F6F5"/>
        <bgColor indexed="64"/>
      </patternFill>
    </fill>
    <fill>
      <patternFill patternType="solid">
        <fgColor rgb="FF89FF94"/>
        <bgColor indexed="64"/>
      </patternFill>
    </fill>
    <fill>
      <patternFill patternType="solid">
        <fgColor rgb="FFD5FFD9"/>
        <bgColor indexed="64"/>
      </patternFill>
    </fill>
    <fill>
      <patternFill patternType="solid">
        <fgColor rgb="FFFFC46D"/>
        <bgColor indexed="64"/>
      </patternFill>
    </fill>
    <fill>
      <gradientFill degree="90">
        <stop position="0">
          <color rgb="FF37CBFF"/>
        </stop>
        <stop position="0.5">
          <color rgb="FF89E0FF"/>
        </stop>
        <stop position="1">
          <color rgb="FF37CBFF"/>
        </stop>
      </gradientFill>
    </fill>
    <fill>
      <gradientFill degree="225">
        <stop position="0">
          <color theme="1"/>
        </stop>
        <stop position="1">
          <color rgb="FFFF5D84"/>
        </stop>
      </gradientFill>
    </fill>
    <fill>
      <gradientFill degree="45">
        <stop position="0">
          <color theme="1"/>
        </stop>
        <stop position="1">
          <color rgb="FF00B050"/>
        </stop>
      </gradientFill>
    </fill>
    <fill>
      <gradientFill degree="270">
        <stop position="0">
          <color theme="1"/>
        </stop>
        <stop position="1">
          <color rgb="FF009E47"/>
        </stop>
      </gradientFill>
    </fill>
    <fill>
      <patternFill patternType="solid">
        <fgColor rgb="FF88E4E2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8" fillId="0" borderId="0" applyFont="0" applyFill="0" applyBorder="0" applyAlignment="0" applyProtection="0"/>
  </cellStyleXfs>
  <cellXfs count="850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2" fillId="0" borderId="0" xfId="0" applyFont="1"/>
    <xf numFmtId="0" fontId="3" fillId="5" borderId="0" xfId="0" applyFont="1" applyFill="1"/>
    <xf numFmtId="0" fontId="3" fillId="0" borderId="0" xfId="0" applyFont="1"/>
    <xf numFmtId="0" fontId="10" fillId="0" borderId="0" xfId="0" applyFont="1"/>
    <xf numFmtId="0" fontId="10" fillId="5" borderId="0" xfId="0" applyFont="1" applyFill="1"/>
    <xf numFmtId="0" fontId="5" fillId="2" borderId="1" xfId="0" applyFont="1" applyFill="1" applyBorder="1" applyAlignment="1">
      <alignment horizontal="right" vertical="center"/>
    </xf>
    <xf numFmtId="0" fontId="5" fillId="2" borderId="2" xfId="0" applyFont="1" applyFill="1" applyBorder="1" applyAlignment="1">
      <alignment horizontal="left" vertical="center"/>
    </xf>
    <xf numFmtId="0" fontId="9" fillId="2" borderId="5" xfId="0" applyFont="1" applyFill="1" applyBorder="1" applyAlignment="1">
      <alignment horizontal="right"/>
    </xf>
    <xf numFmtId="0" fontId="9" fillId="2" borderId="6" xfId="0" applyFont="1" applyFill="1" applyBorder="1" applyAlignment="1">
      <alignment horizontal="right"/>
    </xf>
    <xf numFmtId="0" fontId="7" fillId="0" borderId="0" xfId="0" applyFont="1" applyAlignment="1">
      <alignment horizontal="right"/>
    </xf>
    <xf numFmtId="0" fontId="9" fillId="2" borderId="26" xfId="0" applyFont="1" applyFill="1" applyBorder="1" applyAlignment="1">
      <alignment vertical="center"/>
    </xf>
    <xf numFmtId="0" fontId="6" fillId="2" borderId="26" xfId="0" applyFont="1" applyFill="1" applyBorder="1" applyAlignment="1">
      <alignment vertical="center"/>
    </xf>
    <xf numFmtId="0" fontId="8" fillId="5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15" fillId="6" borderId="1" xfId="0" applyFont="1" applyFill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/>
    </xf>
    <xf numFmtId="0" fontId="17" fillId="2" borderId="39" xfId="0" applyFont="1" applyFill="1" applyBorder="1" applyAlignment="1">
      <alignment horizontal="center"/>
    </xf>
    <xf numFmtId="0" fontId="17" fillId="2" borderId="40" xfId="0" applyFont="1" applyFill="1" applyBorder="1" applyAlignment="1">
      <alignment horizontal="center"/>
    </xf>
    <xf numFmtId="165" fontId="18" fillId="2" borderId="37" xfId="0" applyNumberFormat="1" applyFont="1" applyFill="1" applyBorder="1" applyAlignment="1">
      <alignment horizontal="center"/>
    </xf>
    <xf numFmtId="165" fontId="18" fillId="0" borderId="25" xfId="0" applyNumberFormat="1" applyFont="1" applyBorder="1" applyAlignment="1">
      <alignment horizontal="center"/>
    </xf>
    <xf numFmtId="0" fontId="19" fillId="0" borderId="0" xfId="0" applyFont="1"/>
    <xf numFmtId="49" fontId="3" fillId="0" borderId="0" xfId="0" applyNumberFormat="1" applyFont="1"/>
    <xf numFmtId="0" fontId="21" fillId="7" borderId="4" xfId="0" applyFont="1" applyFill="1" applyBorder="1" applyAlignment="1">
      <alignment horizontal="center"/>
    </xf>
    <xf numFmtId="0" fontId="21" fillId="7" borderId="5" xfId="0" applyFont="1" applyFill="1" applyBorder="1"/>
    <xf numFmtId="0" fontId="21" fillId="7" borderId="5" xfId="0" applyFont="1" applyFill="1" applyBorder="1" applyAlignment="1">
      <alignment horizontal="center"/>
    </xf>
    <xf numFmtId="0" fontId="21" fillId="7" borderId="6" xfId="0" applyFont="1" applyFill="1" applyBorder="1"/>
    <xf numFmtId="0" fontId="17" fillId="6" borderId="34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7" fillId="6" borderId="31" xfId="0" applyFont="1" applyFill="1" applyBorder="1" applyAlignment="1">
      <alignment horizontal="center"/>
    </xf>
    <xf numFmtId="0" fontId="21" fillId="7" borderId="7" xfId="0" applyFont="1" applyFill="1" applyBorder="1"/>
    <xf numFmtId="0" fontId="17" fillId="6" borderId="0" xfId="0" applyFont="1" applyFill="1" applyAlignment="1">
      <alignment horizontal="center"/>
    </xf>
    <xf numFmtId="0" fontId="21" fillId="5" borderId="0" xfId="0" applyFont="1" applyFill="1"/>
    <xf numFmtId="0" fontId="21" fillId="7" borderId="8" xfId="0" applyFont="1" applyFill="1" applyBorder="1" applyAlignment="1">
      <alignment horizontal="center"/>
    </xf>
    <xf numFmtId="0" fontId="17" fillId="6" borderId="33" xfId="0" applyFont="1" applyFill="1" applyBorder="1" applyAlignment="1">
      <alignment horizontal="center"/>
    </xf>
    <xf numFmtId="0" fontId="22" fillId="5" borderId="0" xfId="0" applyFont="1" applyFill="1"/>
    <xf numFmtId="165" fontId="22" fillId="5" borderId="0" xfId="0" applyNumberFormat="1" applyFont="1" applyFill="1"/>
    <xf numFmtId="0" fontId="22" fillId="0" borderId="0" xfId="0" applyFont="1"/>
    <xf numFmtId="0" fontId="22" fillId="5" borderId="0" xfId="0" applyFont="1" applyFill="1" applyAlignment="1">
      <alignment vertical="center"/>
    </xf>
    <xf numFmtId="0" fontId="28" fillId="10" borderId="60" xfId="0" applyFont="1" applyFill="1" applyBorder="1" applyAlignment="1">
      <alignment horizontal="center" vertical="center"/>
    </xf>
    <xf numFmtId="0" fontId="29" fillId="10" borderId="60" xfId="0" applyFont="1" applyFill="1" applyBorder="1" applyAlignment="1">
      <alignment horizontal="center" vertical="center"/>
    </xf>
    <xf numFmtId="0" fontId="28" fillId="10" borderId="48" xfId="0" applyFont="1" applyFill="1" applyBorder="1" applyAlignment="1">
      <alignment horizontal="center" vertical="center"/>
    </xf>
    <xf numFmtId="0" fontId="22" fillId="5" borderId="13" xfId="0" applyFont="1" applyFill="1" applyBorder="1"/>
    <xf numFmtId="0" fontId="25" fillId="10" borderId="47" xfId="0" applyFont="1" applyFill="1" applyBorder="1" applyAlignment="1">
      <alignment horizontal="center" vertical="center"/>
    </xf>
    <xf numFmtId="0" fontId="22" fillId="5" borderId="26" xfId="0" applyFont="1" applyFill="1" applyBorder="1"/>
    <xf numFmtId="0" fontId="25" fillId="10" borderId="49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22" fillId="5" borderId="20" xfId="0" applyFont="1" applyFill="1" applyBorder="1"/>
    <xf numFmtId="0" fontId="34" fillId="3" borderId="10" xfId="0" applyFont="1" applyFill="1" applyBorder="1" applyAlignment="1">
      <alignment horizontal="right" vertical="center"/>
    </xf>
    <xf numFmtId="0" fontId="34" fillId="3" borderId="50" xfId="0" applyFont="1" applyFill="1" applyBorder="1" applyAlignment="1">
      <alignment horizontal="right" vertical="center"/>
    </xf>
    <xf numFmtId="0" fontId="34" fillId="3" borderId="44" xfId="0" applyFont="1" applyFill="1" applyBorder="1" applyAlignment="1">
      <alignment horizontal="right" vertical="center"/>
    </xf>
    <xf numFmtId="0" fontId="27" fillId="3" borderId="11" xfId="0" applyFont="1" applyFill="1" applyBorder="1" applyAlignment="1">
      <alignment horizontal="right" vertical="center"/>
    </xf>
    <xf numFmtId="0" fontId="35" fillId="7" borderId="26" xfId="0" applyFont="1" applyFill="1" applyBorder="1" applyAlignment="1">
      <alignment horizontal="right" vertical="center"/>
    </xf>
    <xf numFmtId="0" fontId="35" fillId="7" borderId="0" xfId="0" applyFont="1" applyFill="1" applyAlignment="1">
      <alignment horizontal="right" vertical="center"/>
    </xf>
    <xf numFmtId="0" fontId="30" fillId="7" borderId="0" xfId="0" applyFont="1" applyFill="1" applyAlignment="1">
      <alignment vertical="center"/>
    </xf>
    <xf numFmtId="165" fontId="30" fillId="7" borderId="0" xfId="0" applyNumberFormat="1" applyFont="1" applyFill="1" applyAlignment="1">
      <alignment vertical="center"/>
    </xf>
    <xf numFmtId="0" fontId="27" fillId="7" borderId="31" xfId="0" applyFont="1" applyFill="1" applyBorder="1" applyAlignment="1">
      <alignment horizontal="right" vertical="center"/>
    </xf>
    <xf numFmtId="0" fontId="28" fillId="12" borderId="60" xfId="0" applyFont="1" applyFill="1" applyBorder="1" applyAlignment="1">
      <alignment horizontal="center" vertical="center"/>
    </xf>
    <xf numFmtId="0" fontId="29" fillId="12" borderId="60" xfId="0" applyFont="1" applyFill="1" applyBorder="1" applyAlignment="1">
      <alignment horizontal="center" vertical="center"/>
    </xf>
    <xf numFmtId="0" fontId="28" fillId="11" borderId="60" xfId="0" applyFont="1" applyFill="1" applyBorder="1" applyAlignment="1">
      <alignment horizontal="center" vertical="center"/>
    </xf>
    <xf numFmtId="0" fontId="29" fillId="11" borderId="60" xfId="0" applyFont="1" applyFill="1" applyBorder="1" applyAlignment="1">
      <alignment horizontal="center" vertical="center"/>
    </xf>
    <xf numFmtId="0" fontId="31" fillId="11" borderId="47" xfId="0" applyFont="1" applyFill="1" applyBorder="1" applyAlignment="1">
      <alignment vertical="center"/>
    </xf>
    <xf numFmtId="0" fontId="31" fillId="11" borderId="49" xfId="0" applyFont="1" applyFill="1" applyBorder="1" applyAlignment="1">
      <alignment vertical="center"/>
    </xf>
    <xf numFmtId="0" fontId="29" fillId="7" borderId="26" xfId="0" applyFont="1" applyFill="1" applyBorder="1" applyAlignment="1">
      <alignment horizontal="right"/>
    </xf>
    <xf numFmtId="0" fontId="22" fillId="7" borderId="0" xfId="0" applyFont="1" applyFill="1"/>
    <xf numFmtId="165" fontId="22" fillId="7" borderId="0" xfId="0" applyNumberFormat="1" applyFont="1" applyFill="1"/>
    <xf numFmtId="0" fontId="22" fillId="7" borderId="31" xfId="0" applyFont="1" applyFill="1" applyBorder="1" applyAlignment="1">
      <alignment horizontal="right"/>
    </xf>
    <xf numFmtId="0" fontId="22" fillId="0" borderId="0" xfId="0" applyFont="1" applyAlignment="1">
      <alignment horizontal="center"/>
    </xf>
    <xf numFmtId="165" fontId="22" fillId="0" borderId="0" xfId="0" applyNumberFormat="1" applyFont="1"/>
    <xf numFmtId="0" fontId="9" fillId="9" borderId="26" xfId="0" applyFont="1" applyFill="1" applyBorder="1" applyAlignment="1">
      <alignment vertical="center"/>
    </xf>
    <xf numFmtId="0" fontId="6" fillId="9" borderId="26" xfId="0" applyFont="1" applyFill="1" applyBorder="1" applyAlignment="1">
      <alignment vertical="center"/>
    </xf>
    <xf numFmtId="0" fontId="9" fillId="2" borderId="26" xfId="0" applyFont="1" applyFill="1" applyBorder="1" applyAlignment="1">
      <alignment horizontal="right" vertical="center"/>
    </xf>
    <xf numFmtId="0" fontId="9" fillId="9" borderId="5" xfId="0" applyFont="1" applyFill="1" applyBorder="1" applyAlignment="1">
      <alignment horizontal="right"/>
    </xf>
    <xf numFmtId="0" fontId="9" fillId="9" borderId="6" xfId="0" applyFont="1" applyFill="1" applyBorder="1" applyAlignment="1">
      <alignment horizontal="right"/>
    </xf>
    <xf numFmtId="0" fontId="37" fillId="0" borderId="0" xfId="0" applyFont="1"/>
    <xf numFmtId="0" fontId="25" fillId="12" borderId="47" xfId="0" applyFont="1" applyFill="1" applyBorder="1" applyAlignment="1">
      <alignment horizontal="center" vertical="center"/>
    </xf>
    <xf numFmtId="0" fontId="25" fillId="12" borderId="49" xfId="0" applyFont="1" applyFill="1" applyBorder="1" applyAlignment="1">
      <alignment horizontal="center" vertical="center"/>
    </xf>
    <xf numFmtId="0" fontId="28" fillId="12" borderId="48" xfId="0" applyFont="1" applyFill="1" applyBorder="1" applyAlignment="1">
      <alignment horizontal="center" vertical="center"/>
    </xf>
    <xf numFmtId="0" fontId="25" fillId="13" borderId="47" xfId="0" applyFont="1" applyFill="1" applyBorder="1" applyAlignment="1">
      <alignment horizontal="center" vertical="center"/>
    </xf>
    <xf numFmtId="0" fontId="31" fillId="13" borderId="47" xfId="0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0" fontId="31" fillId="13" borderId="49" xfId="0" applyFont="1" applyFill="1" applyBorder="1" applyAlignment="1">
      <alignment vertical="center"/>
    </xf>
    <xf numFmtId="0" fontId="28" fillId="13" borderId="60" xfId="0" applyFont="1" applyFill="1" applyBorder="1" applyAlignment="1">
      <alignment horizontal="center" vertical="center"/>
    </xf>
    <xf numFmtId="0" fontId="29" fillId="13" borderId="60" xfId="0" applyFont="1" applyFill="1" applyBorder="1" applyAlignment="1">
      <alignment horizontal="center" vertical="center"/>
    </xf>
    <xf numFmtId="0" fontId="28" fillId="13" borderId="48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5" borderId="0" xfId="0" applyFill="1"/>
    <xf numFmtId="0" fontId="46" fillId="14" borderId="29" xfId="0" applyFont="1" applyFill="1" applyBorder="1" applyAlignment="1">
      <alignment horizontal="center"/>
    </xf>
    <xf numFmtId="1" fontId="0" fillId="0" borderId="0" xfId="1" applyNumberFormat="1" applyFont="1"/>
    <xf numFmtId="0" fontId="11" fillId="5" borderId="52" xfId="0" applyFont="1" applyFill="1" applyBorder="1" applyAlignment="1">
      <alignment horizontal="right" vertical="center"/>
    </xf>
    <xf numFmtId="0" fontId="11" fillId="5" borderId="52" xfId="0" applyFont="1" applyFill="1" applyBorder="1" applyAlignment="1">
      <alignment horizontal="center" vertical="center"/>
    </xf>
    <xf numFmtId="0" fontId="12" fillId="5" borderId="53" xfId="0" applyFont="1" applyFill="1" applyBorder="1" applyAlignment="1">
      <alignment horizontal="center" vertical="center"/>
    </xf>
    <xf numFmtId="0" fontId="12" fillId="5" borderId="52" xfId="0" applyFont="1" applyFill="1" applyBorder="1" applyAlignment="1">
      <alignment vertical="center"/>
    </xf>
    <xf numFmtId="0" fontId="13" fillId="5" borderId="52" xfId="0" applyFont="1" applyFill="1" applyBorder="1" applyAlignment="1">
      <alignment vertical="center"/>
    </xf>
    <xf numFmtId="0" fontId="13" fillId="5" borderId="52" xfId="0" applyFont="1" applyFill="1" applyBorder="1" applyAlignment="1">
      <alignment horizontal="right" vertical="center"/>
    </xf>
    <xf numFmtId="165" fontId="3" fillId="0" borderId="0" xfId="0" applyNumberFormat="1" applyFont="1"/>
    <xf numFmtId="0" fontId="28" fillId="11" borderId="48" xfId="0" applyFont="1" applyFill="1" applyBorder="1" applyAlignment="1">
      <alignment horizontal="center" vertical="center"/>
    </xf>
    <xf numFmtId="0" fontId="25" fillId="11" borderId="47" xfId="0" applyFont="1" applyFill="1" applyBorder="1" applyAlignment="1">
      <alignment horizontal="center" vertical="center"/>
    </xf>
    <xf numFmtId="0" fontId="25" fillId="11" borderId="49" xfId="0" applyFont="1" applyFill="1" applyBorder="1" applyAlignment="1">
      <alignment horizontal="center" vertical="center"/>
    </xf>
    <xf numFmtId="0" fontId="28" fillId="16" borderId="60" xfId="0" applyFont="1" applyFill="1" applyBorder="1" applyAlignment="1">
      <alignment horizontal="center" vertical="center"/>
    </xf>
    <xf numFmtId="0" fontId="29" fillId="16" borderId="60" xfId="0" applyFont="1" applyFill="1" applyBorder="1" applyAlignment="1">
      <alignment horizontal="center" vertical="center"/>
    </xf>
    <xf numFmtId="0" fontId="28" fillId="16" borderId="48" xfId="0" applyFont="1" applyFill="1" applyBorder="1" applyAlignment="1">
      <alignment horizontal="center" vertical="center"/>
    </xf>
    <xf numFmtId="0" fontId="25" fillId="16" borderId="47" xfId="0" applyFont="1" applyFill="1" applyBorder="1" applyAlignment="1">
      <alignment horizontal="center" vertical="center"/>
    </xf>
    <xf numFmtId="0" fontId="31" fillId="16" borderId="47" xfId="0" applyFont="1" applyFill="1" applyBorder="1" applyAlignment="1">
      <alignment vertical="center"/>
    </xf>
    <xf numFmtId="0" fontId="25" fillId="16" borderId="49" xfId="0" applyFont="1" applyFill="1" applyBorder="1" applyAlignment="1">
      <alignment horizontal="center" vertical="center"/>
    </xf>
    <xf numFmtId="0" fontId="31" fillId="16" borderId="49" xfId="0" applyFont="1" applyFill="1" applyBorder="1" applyAlignment="1">
      <alignment vertical="center"/>
    </xf>
    <xf numFmtId="0" fontId="25" fillId="21" borderId="47" xfId="0" applyFont="1" applyFill="1" applyBorder="1" applyAlignment="1">
      <alignment horizontal="center" vertical="center"/>
    </xf>
    <xf numFmtId="0" fontId="31" fillId="21" borderId="47" xfId="0" applyFont="1" applyFill="1" applyBorder="1" applyAlignment="1">
      <alignment vertical="center"/>
    </xf>
    <xf numFmtId="0" fontId="25" fillId="21" borderId="49" xfId="0" applyFont="1" applyFill="1" applyBorder="1" applyAlignment="1">
      <alignment horizontal="center" vertical="center"/>
    </xf>
    <xf numFmtId="0" fontId="31" fillId="21" borderId="49" xfId="0" applyFont="1" applyFill="1" applyBorder="1" applyAlignment="1">
      <alignment vertical="center"/>
    </xf>
    <xf numFmtId="0" fontId="28" fillId="21" borderId="60" xfId="0" applyFont="1" applyFill="1" applyBorder="1" applyAlignment="1">
      <alignment horizontal="center" vertical="center"/>
    </xf>
    <xf numFmtId="0" fontId="29" fillId="21" borderId="60" xfId="0" applyFont="1" applyFill="1" applyBorder="1" applyAlignment="1">
      <alignment horizontal="center" vertical="center"/>
    </xf>
    <xf numFmtId="0" fontId="28" fillId="21" borderId="48" xfId="0" applyFont="1" applyFill="1" applyBorder="1" applyAlignment="1">
      <alignment horizontal="center" vertical="center"/>
    </xf>
    <xf numFmtId="0" fontId="36" fillId="0" borderId="0" xfId="0" applyFont="1"/>
    <xf numFmtId="0" fontId="32" fillId="0" borderId="0" xfId="0" applyFont="1" applyAlignment="1">
      <alignment horizontal="right"/>
    </xf>
    <xf numFmtId="2" fontId="36" fillId="0" borderId="0" xfId="0" applyNumberFormat="1" applyFont="1"/>
    <xf numFmtId="0" fontId="25" fillId="0" borderId="0" xfId="0" applyFont="1"/>
    <xf numFmtId="0" fontId="2" fillId="0" borderId="0" xfId="0" applyFont="1" applyAlignment="1">
      <alignment horizontal="center"/>
    </xf>
    <xf numFmtId="0" fontId="21" fillId="7" borderId="52" xfId="0" applyFont="1" applyFill="1" applyBorder="1" applyAlignment="1">
      <alignment horizontal="center"/>
    </xf>
    <xf numFmtId="0" fontId="21" fillId="7" borderId="52" xfId="0" applyFont="1" applyFill="1" applyBorder="1"/>
    <xf numFmtId="0" fontId="21" fillId="7" borderId="53" xfId="0" applyFont="1" applyFill="1" applyBorder="1"/>
    <xf numFmtId="0" fontId="21" fillId="7" borderId="58" xfId="0" applyFont="1" applyFill="1" applyBorder="1" applyAlignment="1">
      <alignment horizontal="center"/>
    </xf>
    <xf numFmtId="0" fontId="21" fillId="7" borderId="54" xfId="0" applyFont="1" applyFill="1" applyBorder="1"/>
    <xf numFmtId="0" fontId="21" fillId="7" borderId="16" xfId="0" applyFont="1" applyFill="1" applyBorder="1"/>
    <xf numFmtId="0" fontId="21" fillId="2" borderId="4" xfId="0" applyFont="1" applyFill="1" applyBorder="1" applyAlignment="1">
      <alignment horizontal="center"/>
    </xf>
    <xf numFmtId="0" fontId="21" fillId="2" borderId="5" xfId="0" applyFont="1" applyFill="1" applyBorder="1"/>
    <xf numFmtId="0" fontId="21" fillId="2" borderId="7" xfId="0" applyFont="1" applyFill="1" applyBorder="1"/>
    <xf numFmtId="0" fontId="21" fillId="2" borderId="6" xfId="0" applyFont="1" applyFill="1" applyBorder="1"/>
    <xf numFmtId="0" fontId="21" fillId="2" borderId="58" xfId="0" applyFont="1" applyFill="1" applyBorder="1" applyAlignment="1">
      <alignment horizontal="center"/>
    </xf>
    <xf numFmtId="0" fontId="21" fillId="2" borderId="52" xfId="0" applyFont="1" applyFill="1" applyBorder="1"/>
    <xf numFmtId="0" fontId="21" fillId="2" borderId="53" xfId="0" applyFont="1" applyFill="1" applyBorder="1"/>
    <xf numFmtId="0" fontId="21" fillId="2" borderId="54" xfId="0" applyFont="1" applyFill="1" applyBorder="1"/>
    <xf numFmtId="0" fontId="21" fillId="2" borderId="9" xfId="0" applyFont="1" applyFill="1" applyBorder="1" applyAlignment="1">
      <alignment horizontal="center"/>
    </xf>
    <xf numFmtId="0" fontId="21" fillId="2" borderId="10" xfId="0" applyFont="1" applyFill="1" applyBorder="1"/>
    <xf numFmtId="0" fontId="21" fillId="2" borderId="50" xfId="0" applyFont="1" applyFill="1" applyBorder="1"/>
    <xf numFmtId="0" fontId="21" fillId="2" borderId="11" xfId="0" applyFont="1" applyFill="1" applyBorder="1"/>
    <xf numFmtId="0" fontId="17" fillId="2" borderId="23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59" xfId="0" applyFont="1" applyFill="1" applyBorder="1"/>
    <xf numFmtId="0" fontId="21" fillId="2" borderId="51" xfId="0" applyFont="1" applyFill="1" applyBorder="1" applyAlignment="1">
      <alignment horizontal="center"/>
    </xf>
    <xf numFmtId="0" fontId="21" fillId="2" borderId="62" xfId="0" applyFont="1" applyFill="1" applyBorder="1" applyAlignment="1">
      <alignment horizontal="center"/>
    </xf>
    <xf numFmtId="0" fontId="17" fillId="2" borderId="33" xfId="0" applyFont="1" applyFill="1" applyBorder="1" applyAlignment="1">
      <alignment horizontal="center"/>
    </xf>
    <xf numFmtId="0" fontId="17" fillId="2" borderId="34" xfId="0" applyFont="1" applyFill="1" applyBorder="1" applyAlignment="1">
      <alignment horizontal="center"/>
    </xf>
    <xf numFmtId="0" fontId="17" fillId="2" borderId="12" xfId="0" applyFont="1" applyFill="1" applyBorder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7" fillId="2" borderId="0" xfId="0" applyFont="1" applyFill="1" applyAlignment="1">
      <alignment horizontal="center"/>
    </xf>
    <xf numFmtId="0" fontId="17" fillId="2" borderId="31" xfId="0" applyFont="1" applyFill="1" applyBorder="1" applyAlignment="1">
      <alignment horizontal="center"/>
    </xf>
    <xf numFmtId="0" fontId="17" fillId="2" borderId="42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/>
    </xf>
    <xf numFmtId="0" fontId="21" fillId="2" borderId="52" xfId="0" applyFont="1" applyFill="1" applyBorder="1" applyAlignment="1">
      <alignment horizontal="center"/>
    </xf>
    <xf numFmtId="0" fontId="21" fillId="2" borderId="10" xfId="0" applyFont="1" applyFill="1" applyBorder="1" applyAlignment="1">
      <alignment horizontal="center"/>
    </xf>
    <xf numFmtId="0" fontId="21" fillId="7" borderId="32" xfId="0" applyFont="1" applyFill="1" applyBorder="1" applyAlignment="1">
      <alignment horizontal="center"/>
    </xf>
    <xf numFmtId="0" fontId="21" fillId="7" borderId="18" xfId="0" applyFont="1" applyFill="1" applyBorder="1"/>
    <xf numFmtId="0" fontId="21" fillId="7" borderId="15" xfId="0" applyFont="1" applyFill="1" applyBorder="1" applyAlignment="1">
      <alignment horizontal="center"/>
    </xf>
    <xf numFmtId="0" fontId="21" fillId="7" borderId="17" xfId="0" applyFont="1" applyFill="1" applyBorder="1"/>
    <xf numFmtId="0" fontId="21" fillId="7" borderId="18" xfId="0" applyFont="1" applyFill="1" applyBorder="1" applyAlignment="1">
      <alignment horizontal="left"/>
    </xf>
    <xf numFmtId="0" fontId="21" fillId="7" borderId="51" xfId="0" applyFont="1" applyFill="1" applyBorder="1" applyAlignment="1">
      <alignment horizontal="center"/>
    </xf>
    <xf numFmtId="0" fontId="21" fillId="7" borderId="16" xfId="0" applyFont="1" applyFill="1" applyBorder="1" applyAlignment="1">
      <alignment horizontal="center"/>
    </xf>
    <xf numFmtId="0" fontId="18" fillId="2" borderId="39" xfId="0" applyFont="1" applyFill="1" applyBorder="1" applyAlignment="1">
      <alignment horizontal="center"/>
    </xf>
    <xf numFmtId="165" fontId="18" fillId="2" borderId="56" xfId="0" applyNumberFormat="1" applyFont="1" applyFill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2" borderId="35" xfId="0" applyFont="1" applyFill="1" applyBorder="1" applyAlignment="1">
      <alignment horizontal="center"/>
    </xf>
    <xf numFmtId="0" fontId="18" fillId="0" borderId="38" xfId="0" applyFont="1" applyBorder="1" applyAlignment="1">
      <alignment horizontal="center"/>
    </xf>
    <xf numFmtId="165" fontId="18" fillId="0" borderId="46" xfId="0" applyNumberFormat="1" applyFont="1" applyBorder="1" applyAlignment="1">
      <alignment horizontal="center"/>
    </xf>
    <xf numFmtId="165" fontId="18" fillId="2" borderId="40" xfId="0" applyNumberFormat="1" applyFont="1" applyFill="1" applyBorder="1" applyAlignment="1">
      <alignment horizontal="center"/>
    </xf>
    <xf numFmtId="165" fontId="18" fillId="2" borderId="45" xfId="0" applyNumberFormat="1" applyFont="1" applyFill="1" applyBorder="1" applyAlignment="1">
      <alignment horizontal="center"/>
    </xf>
    <xf numFmtId="0" fontId="45" fillId="14" borderId="5" xfId="0" applyFont="1" applyFill="1" applyBorder="1"/>
    <xf numFmtId="0" fontId="45" fillId="14" borderId="7" xfId="0" applyFont="1" applyFill="1" applyBorder="1"/>
    <xf numFmtId="0" fontId="45" fillId="14" borderId="6" xfId="0" applyFont="1" applyFill="1" applyBorder="1"/>
    <xf numFmtId="0" fontId="40" fillId="14" borderId="5" xfId="0" applyFont="1" applyFill="1" applyBorder="1"/>
    <xf numFmtId="0" fontId="40" fillId="14" borderId="7" xfId="0" applyFont="1" applyFill="1" applyBorder="1"/>
    <xf numFmtId="0" fontId="40" fillId="14" borderId="6" xfId="0" applyFont="1" applyFill="1" applyBorder="1"/>
    <xf numFmtId="0" fontId="41" fillId="15" borderId="5" xfId="0" applyFont="1" applyFill="1" applyBorder="1"/>
    <xf numFmtId="0" fontId="41" fillId="15" borderId="7" xfId="0" applyFont="1" applyFill="1" applyBorder="1"/>
    <xf numFmtId="0" fontId="41" fillId="15" borderId="6" xfId="0" applyFont="1" applyFill="1" applyBorder="1"/>
    <xf numFmtId="0" fontId="25" fillId="23" borderId="2" xfId="0" applyFont="1" applyFill="1" applyBorder="1" applyAlignment="1">
      <alignment vertical="center"/>
    </xf>
    <xf numFmtId="0" fontId="25" fillId="23" borderId="2" xfId="0" applyFont="1" applyFill="1" applyBorder="1"/>
    <xf numFmtId="0" fontId="54" fillId="23" borderId="2" xfId="0" applyFont="1" applyFill="1" applyBorder="1"/>
    <xf numFmtId="0" fontId="25" fillId="20" borderId="2" xfId="0" applyFont="1" applyFill="1" applyBorder="1" applyAlignment="1">
      <alignment vertical="center"/>
    </xf>
    <xf numFmtId="0" fontId="25" fillId="20" borderId="2" xfId="0" applyFont="1" applyFill="1" applyBorder="1"/>
    <xf numFmtId="0" fontId="54" fillId="20" borderId="2" xfId="0" applyFont="1" applyFill="1" applyBorder="1"/>
    <xf numFmtId="0" fontId="25" fillId="19" borderId="2" xfId="0" applyFont="1" applyFill="1" applyBorder="1" applyAlignment="1">
      <alignment vertical="center"/>
    </xf>
    <xf numFmtId="0" fontId="25" fillId="19" borderId="2" xfId="0" applyFont="1" applyFill="1" applyBorder="1"/>
    <xf numFmtId="0" fontId="54" fillId="19" borderId="2" xfId="0" applyFont="1" applyFill="1" applyBorder="1"/>
    <xf numFmtId="0" fontId="25" fillId="27" borderId="2" xfId="0" applyFont="1" applyFill="1" applyBorder="1" applyAlignment="1">
      <alignment vertical="center"/>
    </xf>
    <xf numFmtId="0" fontId="25" fillId="27" borderId="2" xfId="0" applyFont="1" applyFill="1" applyBorder="1"/>
    <xf numFmtId="0" fontId="54" fillId="27" borderId="2" xfId="0" applyFont="1" applyFill="1" applyBorder="1"/>
    <xf numFmtId="0" fontId="25" fillId="28" borderId="2" xfId="0" applyFont="1" applyFill="1" applyBorder="1"/>
    <xf numFmtId="0" fontId="25" fillId="30" borderId="2" xfId="0" applyFont="1" applyFill="1" applyBorder="1" applyAlignment="1">
      <alignment vertical="center"/>
    </xf>
    <xf numFmtId="0" fontId="25" fillId="30" borderId="2" xfId="0" applyFont="1" applyFill="1" applyBorder="1"/>
    <xf numFmtId="0" fontId="54" fillId="30" borderId="2" xfId="0" applyFont="1" applyFill="1" applyBorder="1"/>
    <xf numFmtId="0" fontId="52" fillId="31" borderId="5" xfId="0" applyFont="1" applyFill="1" applyBorder="1" applyAlignment="1">
      <alignment vertical="center"/>
    </xf>
    <xf numFmtId="0" fontId="52" fillId="34" borderId="5" xfId="0" applyFont="1" applyFill="1" applyBorder="1" applyAlignment="1">
      <alignment horizontal="right" vertical="center"/>
    </xf>
    <xf numFmtId="0" fontId="52" fillId="35" borderId="5" xfId="0" applyFont="1" applyFill="1" applyBorder="1" applyAlignment="1">
      <alignment vertical="center"/>
    </xf>
    <xf numFmtId="0" fontId="52" fillId="36" borderId="5" xfId="0" applyFont="1" applyFill="1" applyBorder="1" applyAlignment="1">
      <alignment vertical="center"/>
    </xf>
    <xf numFmtId="0" fontId="52" fillId="37" borderId="5" xfId="0" applyFont="1" applyFill="1" applyBorder="1" applyAlignment="1">
      <alignment vertical="center"/>
    </xf>
    <xf numFmtId="0" fontId="49" fillId="7" borderId="1" xfId="0" applyFont="1" applyFill="1" applyBorder="1" applyAlignment="1">
      <alignment horizontal="center" vertical="center" wrapText="1"/>
    </xf>
    <xf numFmtId="0" fontId="49" fillId="7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49" fillId="7" borderId="19" xfId="0" applyFont="1" applyFill="1" applyBorder="1" applyAlignment="1">
      <alignment horizontal="center" vertical="center" wrapText="1"/>
    </xf>
    <xf numFmtId="0" fontId="32" fillId="0" borderId="27" xfId="0" applyFont="1" applyBorder="1" applyAlignment="1">
      <alignment horizontal="right" vertical="center"/>
    </xf>
    <xf numFmtId="165" fontId="32" fillId="0" borderId="24" xfId="0" applyNumberFormat="1" applyFont="1" applyBorder="1" applyAlignment="1">
      <alignment horizontal="right" vertical="center"/>
    </xf>
    <xf numFmtId="0" fontId="28" fillId="0" borderId="18" xfId="0" applyFont="1" applyBorder="1" applyAlignment="1">
      <alignment horizontal="right" vertical="center"/>
    </xf>
    <xf numFmtId="0" fontId="32" fillId="0" borderId="16" xfId="0" applyFont="1" applyBorder="1" applyAlignment="1">
      <alignment horizontal="right" vertical="center"/>
    </xf>
    <xf numFmtId="165" fontId="32" fillId="0" borderId="6" xfId="0" applyNumberFormat="1" applyFont="1" applyBorder="1" applyAlignment="1">
      <alignment horizontal="right" vertical="center"/>
    </xf>
    <xf numFmtId="0" fontId="28" fillId="0" borderId="6" xfId="0" applyFont="1" applyBorder="1" applyAlignment="1">
      <alignment horizontal="right" vertical="center"/>
    </xf>
    <xf numFmtId="0" fontId="32" fillId="0" borderId="61" xfId="0" applyFont="1" applyBorder="1" applyAlignment="1">
      <alignment horizontal="right" vertical="center"/>
    </xf>
    <xf numFmtId="165" fontId="32" fillId="0" borderId="11" xfId="0" applyNumberFormat="1" applyFont="1" applyBorder="1" applyAlignment="1">
      <alignment horizontal="right" vertical="center"/>
    </xf>
    <xf numFmtId="0" fontId="34" fillId="3" borderId="41" xfId="0" applyFont="1" applyFill="1" applyBorder="1" applyAlignment="1">
      <alignment horizontal="right" vertical="center"/>
    </xf>
    <xf numFmtId="0" fontId="34" fillId="3" borderId="27" xfId="0" applyFont="1" applyFill="1" applyBorder="1" applyAlignment="1">
      <alignment horizontal="right" vertical="center"/>
    </xf>
    <xf numFmtId="0" fontId="34" fillId="3" borderId="42" xfId="0" applyFont="1" applyFill="1" applyBorder="1" applyAlignment="1">
      <alignment horizontal="right" vertical="center"/>
    </xf>
    <xf numFmtId="0" fontId="34" fillId="3" borderId="57" xfId="0" applyFont="1" applyFill="1" applyBorder="1" applyAlignment="1">
      <alignment horizontal="right" vertical="center"/>
    </xf>
    <xf numFmtId="165" fontId="34" fillId="3" borderId="57" xfId="0" applyNumberFormat="1" applyFont="1" applyFill="1" applyBorder="1" applyAlignment="1">
      <alignment horizontal="right" vertical="center"/>
    </xf>
    <xf numFmtId="0" fontId="30" fillId="3" borderId="55" xfId="0" applyFont="1" applyFill="1" applyBorder="1" applyAlignment="1">
      <alignment horizontal="right" vertical="center"/>
    </xf>
    <xf numFmtId="0" fontId="34" fillId="3" borderId="5" xfId="0" applyFont="1" applyFill="1" applyBorder="1" applyAlignment="1">
      <alignment horizontal="right" vertical="center"/>
    </xf>
    <xf numFmtId="0" fontId="34" fillId="3" borderId="7" xfId="0" applyFont="1" applyFill="1" applyBorder="1" applyAlignment="1">
      <alignment horizontal="right" vertical="center"/>
    </xf>
    <xf numFmtId="165" fontId="34" fillId="3" borderId="5" xfId="0" applyNumberFormat="1" applyFont="1" applyFill="1" applyBorder="1" applyAlignment="1">
      <alignment horizontal="right" vertical="center"/>
    </xf>
    <xf numFmtId="0" fontId="30" fillId="3" borderId="6" xfId="0" applyFont="1" applyFill="1" applyBorder="1" applyAlignment="1">
      <alignment horizontal="right" vertical="center"/>
    </xf>
    <xf numFmtId="165" fontId="34" fillId="3" borderId="44" xfId="0" applyNumberFormat="1" applyFont="1" applyFill="1" applyBorder="1" applyAlignment="1">
      <alignment horizontal="right" vertical="center"/>
    </xf>
    <xf numFmtId="0" fontId="33" fillId="8" borderId="5" xfId="0" applyFont="1" applyFill="1" applyBorder="1" applyAlignment="1">
      <alignment horizontal="right" vertical="center"/>
    </xf>
    <xf numFmtId="0" fontId="26" fillId="8" borderId="48" xfId="0" applyFont="1" applyFill="1" applyBorder="1" applyAlignment="1">
      <alignment horizontal="center" vertical="center"/>
    </xf>
    <xf numFmtId="0" fontId="26" fillId="40" borderId="64" xfId="0" applyFont="1" applyFill="1" applyBorder="1" applyAlignment="1">
      <alignment horizontal="center" vertical="center"/>
    </xf>
    <xf numFmtId="0" fontId="26" fillId="41" borderId="64" xfId="0" applyFont="1" applyFill="1" applyBorder="1" applyAlignment="1">
      <alignment horizontal="center" vertical="center"/>
    </xf>
    <xf numFmtId="0" fontId="26" fillId="43" borderId="64" xfId="0" applyFont="1" applyFill="1" applyBorder="1" applyAlignment="1">
      <alignment horizontal="center" vertical="center"/>
    </xf>
    <xf numFmtId="0" fontId="33" fillId="42" borderId="5" xfId="0" applyFont="1" applyFill="1" applyBorder="1" applyAlignment="1">
      <alignment horizontal="right" vertical="center"/>
    </xf>
    <xf numFmtId="0" fontId="33" fillId="41" borderId="5" xfId="0" applyFont="1" applyFill="1" applyBorder="1" applyAlignment="1">
      <alignment horizontal="right" vertical="center"/>
    </xf>
    <xf numFmtId="0" fontId="33" fillId="40" borderId="5" xfId="0" applyFont="1" applyFill="1" applyBorder="1" applyAlignment="1">
      <alignment horizontal="right" vertical="center"/>
    </xf>
    <xf numFmtId="0" fontId="33" fillId="43" borderId="5" xfId="0" applyFont="1" applyFill="1" applyBorder="1" applyAlignment="1">
      <alignment horizontal="right" vertical="center"/>
    </xf>
    <xf numFmtId="0" fontId="26" fillId="42" borderId="64" xfId="0" applyFont="1" applyFill="1" applyBorder="1" applyAlignment="1">
      <alignment horizontal="center" vertical="center"/>
    </xf>
    <xf numFmtId="0" fontId="59" fillId="0" borderId="0" xfId="0" applyFont="1" applyAlignment="1">
      <alignment horizontal="center"/>
    </xf>
    <xf numFmtId="0" fontId="51" fillId="32" borderId="5" xfId="0" applyFont="1" applyFill="1" applyBorder="1" applyAlignment="1">
      <alignment vertical="center"/>
    </xf>
    <xf numFmtId="0" fontId="25" fillId="17" borderId="2" xfId="0" applyFont="1" applyFill="1" applyBorder="1" applyAlignment="1">
      <alignment vertical="center"/>
    </xf>
    <xf numFmtId="0" fontId="25" fillId="17" borderId="2" xfId="0" applyFont="1" applyFill="1" applyBorder="1"/>
    <xf numFmtId="0" fontId="54" fillId="17" borderId="2" xfId="0" applyFont="1" applyFill="1" applyBorder="1"/>
    <xf numFmtId="0" fontId="25" fillId="46" borderId="47" xfId="0" applyFont="1" applyFill="1" applyBorder="1" applyAlignment="1">
      <alignment horizontal="center" vertical="center"/>
    </xf>
    <xf numFmtId="0" fontId="31" fillId="46" borderId="47" xfId="0" applyFont="1" applyFill="1" applyBorder="1" applyAlignment="1">
      <alignment vertical="center"/>
    </xf>
    <xf numFmtId="0" fontId="25" fillId="46" borderId="49" xfId="0" applyFont="1" applyFill="1" applyBorder="1" applyAlignment="1">
      <alignment horizontal="center" vertical="center"/>
    </xf>
    <xf numFmtId="0" fontId="31" fillId="46" borderId="49" xfId="0" applyFont="1" applyFill="1" applyBorder="1" applyAlignment="1">
      <alignment vertical="center"/>
    </xf>
    <xf numFmtId="0" fontId="28" fillId="46" borderId="60" xfId="0" applyFont="1" applyFill="1" applyBorder="1" applyAlignment="1">
      <alignment horizontal="center" vertical="center"/>
    </xf>
    <xf numFmtId="0" fontId="29" fillId="46" borderId="60" xfId="0" applyFont="1" applyFill="1" applyBorder="1" applyAlignment="1">
      <alignment horizontal="center" vertical="center"/>
    </xf>
    <xf numFmtId="0" fontId="28" fillId="46" borderId="48" xfId="0" applyFont="1" applyFill="1" applyBorder="1" applyAlignment="1">
      <alignment horizontal="center" vertical="center"/>
    </xf>
    <xf numFmtId="0" fontId="52" fillId="45" borderId="5" xfId="0" applyFont="1" applyFill="1" applyBorder="1" applyAlignment="1">
      <alignment vertical="center"/>
    </xf>
    <xf numFmtId="0" fontId="52" fillId="47" borderId="5" xfId="0" applyFont="1" applyFill="1" applyBorder="1" applyAlignment="1">
      <alignment vertical="center"/>
    </xf>
    <xf numFmtId="0" fontId="52" fillId="2" borderId="4" xfId="0" applyFont="1" applyFill="1" applyBorder="1" applyAlignment="1">
      <alignment horizontal="right" vertical="center"/>
    </xf>
    <xf numFmtId="0" fontId="52" fillId="2" borderId="5" xfId="0" applyFont="1" applyFill="1" applyBorder="1" applyAlignment="1">
      <alignment horizontal="left" vertical="center"/>
    </xf>
    <xf numFmtId="0" fontId="52" fillId="2" borderId="5" xfId="0" applyFont="1" applyFill="1" applyBorder="1" applyAlignment="1">
      <alignment horizontal="right" vertical="center"/>
    </xf>
    <xf numFmtId="166" fontId="52" fillId="2" borderId="6" xfId="0" applyNumberFormat="1" applyFont="1" applyFill="1" applyBorder="1" applyAlignment="1">
      <alignment horizontal="right" vertical="center"/>
    </xf>
    <xf numFmtId="0" fontId="6" fillId="9" borderId="27" xfId="0" applyFont="1" applyFill="1" applyBorder="1" applyAlignment="1">
      <alignment horizontal="right"/>
    </xf>
    <xf numFmtId="0" fontId="6" fillId="9" borderId="24" xfId="0" applyFont="1" applyFill="1" applyBorder="1" applyAlignment="1">
      <alignment horizontal="right"/>
    </xf>
    <xf numFmtId="0" fontId="9" fillId="9" borderId="13" xfId="0" applyFont="1" applyFill="1" applyBorder="1" applyAlignment="1">
      <alignment horizontal="right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vertical="center"/>
    </xf>
    <xf numFmtId="0" fontId="9" fillId="9" borderId="12" xfId="0" applyFont="1" applyFill="1" applyBorder="1" applyAlignment="1">
      <alignment horizontal="right" vertical="center"/>
    </xf>
    <xf numFmtId="0" fontId="9" fillId="2" borderId="31" xfId="0" applyFont="1" applyFill="1" applyBorder="1" applyAlignment="1">
      <alignment horizontal="right" vertical="center"/>
    </xf>
    <xf numFmtId="0" fontId="9" fillId="9" borderId="31" xfId="0" applyFont="1" applyFill="1" applyBorder="1" applyAlignment="1">
      <alignment vertical="center"/>
    </xf>
    <xf numFmtId="0" fontId="9" fillId="2" borderId="31" xfId="0" applyFont="1" applyFill="1" applyBorder="1" applyAlignment="1">
      <alignment vertical="center"/>
    </xf>
    <xf numFmtId="0" fontId="6" fillId="9" borderId="31" xfId="0" applyFont="1" applyFill="1" applyBorder="1" applyAlignment="1">
      <alignment vertical="center"/>
    </xf>
    <xf numFmtId="0" fontId="6" fillId="2" borderId="31" xfId="0" applyFont="1" applyFill="1" applyBorder="1" applyAlignment="1">
      <alignment vertical="center"/>
    </xf>
    <xf numFmtId="0" fontId="9" fillId="9" borderId="10" xfId="0" applyFont="1" applyFill="1" applyBorder="1" applyAlignment="1">
      <alignment horizontal="right"/>
    </xf>
    <xf numFmtId="0" fontId="9" fillId="9" borderId="11" xfId="0" applyFont="1" applyFill="1" applyBorder="1" applyAlignment="1">
      <alignment horizontal="right"/>
    </xf>
    <xf numFmtId="0" fontId="6" fillId="9" borderId="27" xfId="0" applyFont="1" applyFill="1" applyBorder="1"/>
    <xf numFmtId="0" fontId="9" fillId="2" borderId="5" xfId="0" applyFont="1" applyFill="1" applyBorder="1"/>
    <xf numFmtId="0" fontId="9" fillId="9" borderId="5" xfId="0" applyFont="1" applyFill="1" applyBorder="1"/>
    <xf numFmtId="0" fontId="9" fillId="9" borderId="6" xfId="0" applyFont="1" applyFill="1" applyBorder="1"/>
    <xf numFmtId="0" fontId="9" fillId="9" borderId="10" xfId="0" applyFont="1" applyFill="1" applyBorder="1"/>
    <xf numFmtId="0" fontId="62" fillId="2" borderId="28" xfId="0" applyFont="1" applyFill="1" applyBorder="1" applyAlignment="1">
      <alignment vertical="center"/>
    </xf>
    <xf numFmtId="0" fontId="62" fillId="2" borderId="29" xfId="0" applyFont="1" applyFill="1" applyBorder="1" applyAlignment="1">
      <alignment horizontal="right" vertical="center"/>
    </xf>
    <xf numFmtId="0" fontId="62" fillId="2" borderId="30" xfId="0" applyFont="1" applyFill="1" applyBorder="1" applyAlignment="1">
      <alignment horizontal="right" vertical="center"/>
    </xf>
    <xf numFmtId="0" fontId="39" fillId="15" borderId="5" xfId="0" applyFont="1" applyFill="1" applyBorder="1"/>
    <xf numFmtId="0" fontId="39" fillId="15" borderId="7" xfId="0" applyFont="1" applyFill="1" applyBorder="1"/>
    <xf numFmtId="0" fontId="39" fillId="15" borderId="6" xfId="0" applyFont="1" applyFill="1" applyBorder="1"/>
    <xf numFmtId="0" fontId="56" fillId="15" borderId="5" xfId="0" applyFont="1" applyFill="1" applyBorder="1"/>
    <xf numFmtId="0" fontId="42" fillId="14" borderId="5" xfId="0" applyFont="1" applyFill="1" applyBorder="1"/>
    <xf numFmtId="0" fontId="6" fillId="9" borderId="22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/>
    </xf>
    <xf numFmtId="0" fontId="6" fillId="9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9" fillId="9" borderId="0" xfId="0" applyFont="1" applyFill="1"/>
    <xf numFmtId="0" fontId="9" fillId="9" borderId="0" xfId="0" applyFont="1" applyFill="1" applyAlignment="1">
      <alignment horizontal="right"/>
    </xf>
    <xf numFmtId="0" fontId="31" fillId="11" borderId="49" xfId="0" applyFont="1" applyFill="1" applyBorder="1" applyAlignment="1">
      <alignment horizontal="center" vertical="center"/>
    </xf>
    <xf numFmtId="0" fontId="31" fillId="11" borderId="47" xfId="0" applyFont="1" applyFill="1" applyBorder="1" applyAlignment="1">
      <alignment horizontal="center" vertical="center"/>
    </xf>
    <xf numFmtId="0" fontId="63" fillId="5" borderId="0" xfId="0" applyFont="1" applyFill="1" applyAlignment="1">
      <alignment horizontal="center"/>
    </xf>
    <xf numFmtId="0" fontId="31" fillId="10" borderId="47" xfId="0" applyFont="1" applyFill="1" applyBorder="1" applyAlignment="1">
      <alignment horizontal="center" vertical="center"/>
    </xf>
    <xf numFmtId="0" fontId="31" fillId="10" borderId="49" xfId="0" applyFont="1" applyFill="1" applyBorder="1" applyAlignment="1">
      <alignment horizontal="center" vertical="center"/>
    </xf>
    <xf numFmtId="0" fontId="64" fillId="7" borderId="0" xfId="0" applyFont="1" applyFill="1" applyAlignment="1">
      <alignment horizontal="center"/>
    </xf>
    <xf numFmtId="0" fontId="31" fillId="12" borderId="47" xfId="0" applyFont="1" applyFill="1" applyBorder="1" applyAlignment="1">
      <alignment horizontal="center" vertical="center"/>
    </xf>
    <xf numFmtId="0" fontId="31" fillId="12" borderId="49" xfId="0" applyFont="1" applyFill="1" applyBorder="1" applyAlignment="1">
      <alignment horizontal="center" vertical="center"/>
    </xf>
    <xf numFmtId="0" fontId="54" fillId="7" borderId="0" xfId="0" applyFont="1" applyFill="1" applyAlignment="1">
      <alignment horizontal="center"/>
    </xf>
    <xf numFmtId="0" fontId="31" fillId="21" borderId="47" xfId="0" applyFont="1" applyFill="1" applyBorder="1" applyAlignment="1">
      <alignment horizontal="center" vertical="center"/>
    </xf>
    <xf numFmtId="0" fontId="31" fillId="21" borderId="49" xfId="0" applyFont="1" applyFill="1" applyBorder="1" applyAlignment="1">
      <alignment horizontal="center" vertical="center"/>
    </xf>
    <xf numFmtId="0" fontId="31" fillId="16" borderId="47" xfId="0" applyFont="1" applyFill="1" applyBorder="1" applyAlignment="1">
      <alignment horizontal="center" vertical="center"/>
    </xf>
    <xf numFmtId="0" fontId="31" fillId="16" borderId="49" xfId="0" applyFont="1" applyFill="1" applyBorder="1" applyAlignment="1">
      <alignment horizontal="center" vertical="center"/>
    </xf>
    <xf numFmtId="0" fontId="31" fillId="46" borderId="47" xfId="0" applyFont="1" applyFill="1" applyBorder="1" applyAlignment="1">
      <alignment horizontal="center" vertical="center"/>
    </xf>
    <xf numFmtId="0" fontId="31" fillId="46" borderId="49" xfId="0" applyFont="1" applyFill="1" applyBorder="1" applyAlignment="1">
      <alignment horizontal="center" vertical="center"/>
    </xf>
    <xf numFmtId="0" fontId="31" fillId="13" borderId="47" xfId="0" applyFont="1" applyFill="1" applyBorder="1" applyAlignment="1">
      <alignment horizontal="center" vertical="center"/>
    </xf>
    <xf numFmtId="0" fontId="31" fillId="13" borderId="49" xfId="0" applyFont="1" applyFill="1" applyBorder="1" applyAlignment="1">
      <alignment horizontal="center" vertical="center"/>
    </xf>
    <xf numFmtId="0" fontId="63" fillId="0" borderId="0" xfId="0" applyFont="1" applyAlignment="1">
      <alignment horizontal="center"/>
    </xf>
    <xf numFmtId="1" fontId="66" fillId="0" borderId="0" xfId="1" applyNumberFormat="1" applyFont="1"/>
    <xf numFmtId="2" fontId="65" fillId="5" borderId="0" xfId="0" applyNumberFormat="1" applyFont="1" applyFill="1"/>
    <xf numFmtId="0" fontId="65" fillId="5" borderId="0" xfId="0" applyFont="1" applyFill="1"/>
    <xf numFmtId="164" fontId="65" fillId="5" borderId="0" xfId="0" applyNumberFormat="1" applyFont="1" applyFill="1"/>
    <xf numFmtId="165" fontId="18" fillId="0" borderId="45" xfId="0" applyNumberFormat="1" applyFont="1" applyBorder="1" applyAlignment="1">
      <alignment horizontal="center"/>
    </xf>
    <xf numFmtId="165" fontId="18" fillId="0" borderId="37" xfId="0" applyNumberFormat="1" applyFont="1" applyBorder="1" applyAlignment="1">
      <alignment horizontal="center"/>
    </xf>
    <xf numFmtId="165" fontId="51" fillId="2" borderId="40" xfId="0" applyNumberFormat="1" applyFont="1" applyFill="1" applyBorder="1" applyAlignment="1">
      <alignment horizontal="center"/>
    </xf>
    <xf numFmtId="165" fontId="51" fillId="0" borderId="37" xfId="0" applyNumberFormat="1" applyFont="1" applyBorder="1" applyAlignment="1">
      <alignment horizontal="center"/>
    </xf>
    <xf numFmtId="165" fontId="51" fillId="2" borderId="37" xfId="0" applyNumberFormat="1" applyFont="1" applyFill="1" applyBorder="1" applyAlignment="1">
      <alignment horizontal="center"/>
    </xf>
    <xf numFmtId="165" fontId="51" fillId="0" borderId="25" xfId="0" applyNumberFormat="1" applyFont="1" applyBorder="1" applyAlignment="1">
      <alignment horizontal="center"/>
    </xf>
    <xf numFmtId="0" fontId="25" fillId="48" borderId="47" xfId="0" applyFont="1" applyFill="1" applyBorder="1" applyAlignment="1">
      <alignment horizontal="center" vertical="center"/>
    </xf>
    <xf numFmtId="0" fontId="31" fillId="48" borderId="47" xfId="0" applyFont="1" applyFill="1" applyBorder="1" applyAlignment="1">
      <alignment horizontal="center" vertical="center"/>
    </xf>
    <xf numFmtId="0" fontId="31" fillId="48" borderId="47" xfId="0" applyFont="1" applyFill="1" applyBorder="1" applyAlignment="1">
      <alignment vertical="center"/>
    </xf>
    <xf numFmtId="0" fontId="25" fillId="48" borderId="49" xfId="0" applyFont="1" applyFill="1" applyBorder="1" applyAlignment="1">
      <alignment horizontal="center" vertical="center"/>
    </xf>
    <xf numFmtId="0" fontId="31" fillId="48" borderId="49" xfId="0" applyFont="1" applyFill="1" applyBorder="1" applyAlignment="1">
      <alignment horizontal="center" vertical="center"/>
    </xf>
    <xf numFmtId="0" fontId="31" fillId="48" borderId="49" xfId="0" applyFont="1" applyFill="1" applyBorder="1" applyAlignment="1">
      <alignment vertical="center"/>
    </xf>
    <xf numFmtId="0" fontId="28" fillId="48" borderId="60" xfId="0" applyFont="1" applyFill="1" applyBorder="1" applyAlignment="1">
      <alignment horizontal="center" vertical="center"/>
    </xf>
    <xf numFmtId="0" fontId="29" fillId="48" borderId="60" xfId="0" applyFont="1" applyFill="1" applyBorder="1" applyAlignment="1">
      <alignment horizontal="center" vertical="center"/>
    </xf>
    <xf numFmtId="0" fontId="28" fillId="48" borderId="48" xfId="0" applyFont="1" applyFill="1" applyBorder="1" applyAlignment="1">
      <alignment horizontal="center" vertical="center"/>
    </xf>
    <xf numFmtId="0" fontId="25" fillId="18" borderId="2" xfId="0" applyFont="1" applyFill="1" applyBorder="1" applyAlignment="1">
      <alignment vertical="center"/>
    </xf>
    <xf numFmtId="0" fontId="25" fillId="18" borderId="2" xfId="0" applyFont="1" applyFill="1" applyBorder="1"/>
    <xf numFmtId="0" fontId="54" fillId="18" borderId="2" xfId="0" applyFont="1" applyFill="1" applyBorder="1"/>
    <xf numFmtId="0" fontId="51" fillId="33" borderId="5" xfId="0" applyFont="1" applyFill="1" applyBorder="1" applyAlignment="1">
      <alignment vertical="center"/>
    </xf>
    <xf numFmtId="0" fontId="52" fillId="49" borderId="5" xfId="0" applyFont="1" applyFill="1" applyBorder="1" applyAlignment="1">
      <alignment vertical="center"/>
    </xf>
    <xf numFmtId="0" fontId="52" fillId="2" borderId="22" xfId="0" applyFont="1" applyFill="1" applyBorder="1" applyAlignment="1">
      <alignment horizontal="right" vertical="center"/>
    </xf>
    <xf numFmtId="0" fontId="52" fillId="2" borderId="27" xfId="0" applyFont="1" applyFill="1" applyBorder="1" applyAlignment="1">
      <alignment horizontal="left" vertical="center"/>
    </xf>
    <xf numFmtId="0" fontId="52" fillId="2" borderId="27" xfId="0" applyFont="1" applyFill="1" applyBorder="1" applyAlignment="1">
      <alignment horizontal="right" vertical="center"/>
    </xf>
    <xf numFmtId="166" fontId="52" fillId="2" borderId="24" xfId="0" applyNumberFormat="1" applyFont="1" applyFill="1" applyBorder="1" applyAlignment="1">
      <alignment horizontal="right" vertical="center"/>
    </xf>
    <xf numFmtId="0" fontId="6" fillId="9" borderId="31" xfId="0" applyFont="1" applyFill="1" applyBorder="1" applyAlignment="1">
      <alignment horizontal="right" vertical="center"/>
    </xf>
    <xf numFmtId="0" fontId="9" fillId="2" borderId="0" xfId="0" applyFont="1" applyFill="1" applyAlignment="1">
      <alignment vertical="center"/>
    </xf>
    <xf numFmtId="0" fontId="9" fillId="2" borderId="0" xfId="0" applyFont="1" applyFill="1" applyAlignment="1">
      <alignment horizontal="center" vertical="center"/>
    </xf>
    <xf numFmtId="0" fontId="9" fillId="9" borderId="0" xfId="0" applyFont="1" applyFill="1" applyAlignment="1">
      <alignment vertical="center"/>
    </xf>
    <xf numFmtId="0" fontId="6" fillId="9" borderId="41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/>
    </xf>
    <xf numFmtId="0" fontId="9" fillId="9" borderId="62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center"/>
    </xf>
    <xf numFmtId="0" fontId="9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25" fillId="10" borderId="66" xfId="0" applyFont="1" applyFill="1" applyBorder="1" applyAlignment="1">
      <alignment horizontal="center" vertical="center"/>
    </xf>
    <xf numFmtId="0" fontId="31" fillId="10" borderId="66" xfId="0" applyFont="1" applyFill="1" applyBorder="1" applyAlignment="1">
      <alignment horizontal="center" vertical="center"/>
    </xf>
    <xf numFmtId="0" fontId="31" fillId="10" borderId="48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31" fillId="12" borderId="48" xfId="0" applyFont="1" applyFill="1" applyBorder="1" applyAlignment="1">
      <alignment horizontal="center" vertical="center"/>
    </xf>
    <xf numFmtId="0" fontId="25" fillId="12" borderId="48" xfId="0" applyFont="1" applyFill="1" applyBorder="1" applyAlignment="1">
      <alignment horizontal="center" vertical="center"/>
    </xf>
    <xf numFmtId="0" fontId="25" fillId="12" borderId="66" xfId="0" applyFont="1" applyFill="1" applyBorder="1" applyAlignment="1">
      <alignment horizontal="center" vertical="center"/>
    </xf>
    <xf numFmtId="0" fontId="31" fillId="12" borderId="66" xfId="0" applyFont="1" applyFill="1" applyBorder="1" applyAlignment="1">
      <alignment horizontal="center" vertical="center"/>
    </xf>
    <xf numFmtId="0" fontId="31" fillId="11" borderId="48" xfId="0" applyFont="1" applyFill="1" applyBorder="1" applyAlignment="1">
      <alignment vertical="center"/>
    </xf>
    <xf numFmtId="0" fontId="31" fillId="11" borderId="48" xfId="0" applyFont="1" applyFill="1" applyBorder="1" applyAlignment="1">
      <alignment horizontal="center" vertical="center"/>
    </xf>
    <xf numFmtId="0" fontId="25" fillId="11" borderId="48" xfId="0" applyFont="1" applyFill="1" applyBorder="1" applyAlignment="1">
      <alignment horizontal="center" vertical="center"/>
    </xf>
    <xf numFmtId="0" fontId="25" fillId="11" borderId="66" xfId="0" applyFont="1" applyFill="1" applyBorder="1" applyAlignment="1">
      <alignment horizontal="center" vertical="center"/>
    </xf>
    <xf numFmtId="0" fontId="31" fillId="11" borderId="66" xfId="0" applyFont="1" applyFill="1" applyBorder="1" applyAlignment="1">
      <alignment horizontal="center" vertical="center"/>
    </xf>
    <xf numFmtId="0" fontId="31" fillId="11" borderId="66" xfId="0" applyFont="1" applyFill="1" applyBorder="1" applyAlignment="1">
      <alignment vertical="center"/>
    </xf>
    <xf numFmtId="0" fontId="31" fillId="13" borderId="48" xfId="0" applyFont="1" applyFill="1" applyBorder="1" applyAlignment="1">
      <alignment vertical="center"/>
    </xf>
    <xf numFmtId="0" fontId="31" fillId="13" borderId="48" xfId="0" applyFont="1" applyFill="1" applyBorder="1" applyAlignment="1">
      <alignment horizontal="center" vertical="center"/>
    </xf>
    <xf numFmtId="0" fontId="25" fillId="13" borderId="48" xfId="0" applyFont="1" applyFill="1" applyBorder="1" applyAlignment="1">
      <alignment horizontal="center" vertical="center"/>
    </xf>
    <xf numFmtId="0" fontId="25" fillId="13" borderId="66" xfId="0" applyFont="1" applyFill="1" applyBorder="1" applyAlignment="1">
      <alignment horizontal="center" vertical="center"/>
    </xf>
    <xf numFmtId="0" fontId="31" fillId="13" borderId="66" xfId="0" applyFont="1" applyFill="1" applyBorder="1" applyAlignment="1">
      <alignment horizontal="center" vertical="center"/>
    </xf>
    <xf numFmtId="0" fontId="31" fillId="13" borderId="66" xfId="0" applyFont="1" applyFill="1" applyBorder="1" applyAlignment="1">
      <alignment vertical="center"/>
    </xf>
    <xf numFmtId="0" fontId="31" fillId="46" borderId="48" xfId="0" applyFont="1" applyFill="1" applyBorder="1" applyAlignment="1">
      <alignment vertical="center"/>
    </xf>
    <xf numFmtId="0" fontId="31" fillId="46" borderId="48" xfId="0" applyFont="1" applyFill="1" applyBorder="1" applyAlignment="1">
      <alignment horizontal="center" vertical="center"/>
    </xf>
    <xf numFmtId="0" fontId="25" fillId="46" borderId="48" xfId="0" applyFont="1" applyFill="1" applyBorder="1" applyAlignment="1">
      <alignment horizontal="center" vertical="center"/>
    </xf>
    <xf numFmtId="0" fontId="25" fillId="46" borderId="66" xfId="0" applyFont="1" applyFill="1" applyBorder="1" applyAlignment="1">
      <alignment horizontal="center" vertical="center"/>
    </xf>
    <xf numFmtId="0" fontId="31" fillId="46" borderId="66" xfId="0" applyFont="1" applyFill="1" applyBorder="1" applyAlignment="1">
      <alignment horizontal="center" vertical="center"/>
    </xf>
    <xf numFmtId="0" fontId="31" fillId="46" borderId="66" xfId="0" applyFont="1" applyFill="1" applyBorder="1" applyAlignment="1">
      <alignment vertical="center"/>
    </xf>
    <xf numFmtId="0" fontId="31" fillId="48" borderId="48" xfId="0" applyFont="1" applyFill="1" applyBorder="1" applyAlignment="1">
      <alignment vertical="center"/>
    </xf>
    <xf numFmtId="0" fontId="31" fillId="48" borderId="48" xfId="0" applyFont="1" applyFill="1" applyBorder="1" applyAlignment="1">
      <alignment horizontal="center" vertical="center"/>
    </xf>
    <xf numFmtId="0" fontId="25" fillId="48" borderId="48" xfId="0" applyFont="1" applyFill="1" applyBorder="1" applyAlignment="1">
      <alignment horizontal="center" vertical="center"/>
    </xf>
    <xf numFmtId="0" fontId="25" fillId="48" borderId="66" xfId="0" applyFont="1" applyFill="1" applyBorder="1" applyAlignment="1">
      <alignment horizontal="center" vertical="center"/>
    </xf>
    <xf numFmtId="0" fontId="31" fillId="48" borderId="66" xfId="0" applyFont="1" applyFill="1" applyBorder="1" applyAlignment="1">
      <alignment horizontal="center" vertical="center"/>
    </xf>
    <xf numFmtId="0" fontId="31" fillId="48" borderId="66" xfId="0" applyFont="1" applyFill="1" applyBorder="1" applyAlignment="1">
      <alignment vertical="center"/>
    </xf>
    <xf numFmtId="0" fontId="31" fillId="21" borderId="48" xfId="0" applyFont="1" applyFill="1" applyBorder="1" applyAlignment="1">
      <alignment vertical="center"/>
    </xf>
    <xf numFmtId="0" fontId="31" fillId="21" borderId="48" xfId="0" applyFont="1" applyFill="1" applyBorder="1" applyAlignment="1">
      <alignment horizontal="center" vertical="center"/>
    </xf>
    <xf numFmtId="0" fontId="25" fillId="21" borderId="48" xfId="0" applyFont="1" applyFill="1" applyBorder="1" applyAlignment="1">
      <alignment horizontal="center" vertical="center"/>
    </xf>
    <xf numFmtId="0" fontId="25" fillId="21" borderId="66" xfId="0" applyFont="1" applyFill="1" applyBorder="1" applyAlignment="1">
      <alignment horizontal="center" vertical="center"/>
    </xf>
    <xf numFmtId="0" fontId="31" fillId="21" borderId="66" xfId="0" applyFont="1" applyFill="1" applyBorder="1" applyAlignment="1">
      <alignment horizontal="center" vertical="center"/>
    </xf>
    <xf numFmtId="0" fontId="31" fillId="21" borderId="66" xfId="0" applyFont="1" applyFill="1" applyBorder="1" applyAlignment="1">
      <alignment vertical="center"/>
    </xf>
    <xf numFmtId="0" fontId="31" fillId="16" borderId="66" xfId="0" applyFont="1" applyFill="1" applyBorder="1" applyAlignment="1">
      <alignment vertical="center"/>
    </xf>
    <xf numFmtId="0" fontId="31" fillId="16" borderId="48" xfId="0" applyFont="1" applyFill="1" applyBorder="1" applyAlignment="1">
      <alignment vertical="center"/>
    </xf>
    <xf numFmtId="0" fontId="31" fillId="16" borderId="66" xfId="0" applyFont="1" applyFill="1" applyBorder="1" applyAlignment="1">
      <alignment horizontal="center" vertical="center"/>
    </xf>
    <xf numFmtId="0" fontId="31" fillId="16" borderId="48" xfId="0" applyFont="1" applyFill="1" applyBorder="1" applyAlignment="1">
      <alignment horizontal="center" vertical="center"/>
    </xf>
    <xf numFmtId="0" fontId="25" fillId="16" borderId="66" xfId="0" applyFont="1" applyFill="1" applyBorder="1" applyAlignment="1">
      <alignment horizontal="center" vertical="center"/>
    </xf>
    <xf numFmtId="0" fontId="25" fillId="16" borderId="48" xfId="0" applyFont="1" applyFill="1" applyBorder="1" applyAlignment="1">
      <alignment horizontal="center" vertical="center"/>
    </xf>
    <xf numFmtId="0" fontId="67" fillId="0" borderId="0" xfId="0" applyFont="1"/>
    <xf numFmtId="0" fontId="68" fillId="0" borderId="0" xfId="0" applyFont="1" applyAlignment="1">
      <alignment horizontal="center" vertical="center"/>
    </xf>
    <xf numFmtId="49" fontId="21" fillId="7" borderId="32" xfId="0" applyNumberFormat="1" applyFont="1" applyFill="1" applyBorder="1" applyAlignment="1">
      <alignment horizontal="center" vertical="center"/>
    </xf>
    <xf numFmtId="0" fontId="21" fillId="7" borderId="16" xfId="0" applyFont="1" applyFill="1" applyBorder="1" applyAlignment="1">
      <alignment horizontal="center" vertical="center"/>
    </xf>
    <xf numFmtId="49" fontId="21" fillId="7" borderId="16" xfId="0" quotePrefix="1" applyNumberFormat="1" applyFont="1" applyFill="1" applyBorder="1" applyAlignment="1">
      <alignment horizontal="center" vertical="center"/>
    </xf>
    <xf numFmtId="0" fontId="21" fillId="7" borderId="17" xfId="0" applyFont="1" applyFill="1" applyBorder="1" applyAlignment="1">
      <alignment horizontal="center" vertical="center"/>
    </xf>
    <xf numFmtId="49" fontId="21" fillId="2" borderId="4" xfId="0" applyNumberFormat="1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49" fontId="21" fillId="7" borderId="4" xfId="0" applyNumberFormat="1" applyFont="1" applyFill="1" applyBorder="1" applyAlignment="1">
      <alignment horizontal="center" vertical="center"/>
    </xf>
    <xf numFmtId="0" fontId="21" fillId="7" borderId="5" xfId="0" applyFont="1" applyFill="1" applyBorder="1" applyAlignment="1">
      <alignment horizontal="center" vertical="center"/>
    </xf>
    <xf numFmtId="0" fontId="21" fillId="7" borderId="7" xfId="0" applyFont="1" applyFill="1" applyBorder="1" applyAlignment="1">
      <alignment horizontal="center" vertical="center"/>
    </xf>
    <xf numFmtId="49" fontId="21" fillId="2" borderId="9" xfId="0" applyNumberFormat="1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1" fillId="2" borderId="50" xfId="0" applyFont="1" applyFill="1" applyBorder="1" applyAlignment="1">
      <alignment horizontal="center" vertical="center"/>
    </xf>
    <xf numFmtId="0" fontId="69" fillId="2" borderId="1" xfId="0" applyFont="1" applyFill="1" applyBorder="1" applyAlignment="1">
      <alignment horizontal="center"/>
    </xf>
    <xf numFmtId="0" fontId="69" fillId="2" borderId="2" xfId="0" applyFont="1" applyFill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vertical="center" wrapText="1"/>
    </xf>
    <xf numFmtId="0" fontId="28" fillId="50" borderId="60" xfId="0" applyFont="1" applyFill="1" applyBorder="1" applyAlignment="1">
      <alignment horizontal="center" vertical="center"/>
    </xf>
    <xf numFmtId="0" fontId="29" fillId="50" borderId="60" xfId="0" applyFont="1" applyFill="1" applyBorder="1" applyAlignment="1">
      <alignment horizontal="center" vertical="center"/>
    </xf>
    <xf numFmtId="0" fontId="28" fillId="50" borderId="48" xfId="0" applyFont="1" applyFill="1" applyBorder="1" applyAlignment="1">
      <alignment horizontal="center" vertical="center"/>
    </xf>
    <xf numFmtId="0" fontId="25" fillId="50" borderId="47" xfId="0" applyFont="1" applyFill="1" applyBorder="1" applyAlignment="1">
      <alignment horizontal="center" vertical="center"/>
    </xf>
    <xf numFmtId="0" fontId="31" fillId="50" borderId="47" xfId="0" applyFont="1" applyFill="1" applyBorder="1" applyAlignment="1">
      <alignment horizontal="center" vertical="center"/>
    </xf>
    <xf numFmtId="0" fontId="31" fillId="50" borderId="47" xfId="0" applyFont="1" applyFill="1" applyBorder="1" applyAlignment="1">
      <alignment vertical="center"/>
    </xf>
    <xf numFmtId="0" fontId="25" fillId="50" borderId="49" xfId="0" applyFont="1" applyFill="1" applyBorder="1" applyAlignment="1">
      <alignment horizontal="center" vertical="center"/>
    </xf>
    <xf numFmtId="0" fontId="31" fillId="50" borderId="49" xfId="0" applyFont="1" applyFill="1" applyBorder="1" applyAlignment="1">
      <alignment horizontal="center" vertical="center"/>
    </xf>
    <xf numFmtId="0" fontId="31" fillId="50" borderId="49" xfId="0" applyFont="1" applyFill="1" applyBorder="1" applyAlignment="1">
      <alignment vertical="center"/>
    </xf>
    <xf numFmtId="0" fontId="25" fillId="50" borderId="66" xfId="0" applyFont="1" applyFill="1" applyBorder="1" applyAlignment="1">
      <alignment horizontal="center" vertical="center"/>
    </xf>
    <xf numFmtId="0" fontId="31" fillId="50" borderId="66" xfId="0" applyFont="1" applyFill="1" applyBorder="1" applyAlignment="1">
      <alignment horizontal="center" vertical="center"/>
    </xf>
    <xf numFmtId="0" fontId="31" fillId="50" borderId="66" xfId="0" applyFont="1" applyFill="1" applyBorder="1" applyAlignment="1">
      <alignment vertical="center"/>
    </xf>
    <xf numFmtId="0" fontId="25" fillId="50" borderId="48" xfId="0" applyFont="1" applyFill="1" applyBorder="1" applyAlignment="1">
      <alignment horizontal="center" vertical="center"/>
    </xf>
    <xf numFmtId="0" fontId="31" fillId="50" borderId="48" xfId="0" applyFont="1" applyFill="1" applyBorder="1" applyAlignment="1">
      <alignment horizontal="center" vertical="center"/>
    </xf>
    <xf numFmtId="0" fontId="31" fillId="50" borderId="48" xfId="0" applyFont="1" applyFill="1" applyBorder="1" applyAlignment="1">
      <alignment vertical="center"/>
    </xf>
    <xf numFmtId="0" fontId="25" fillId="25" borderId="2" xfId="0" applyFont="1" applyFill="1" applyBorder="1" applyAlignment="1">
      <alignment vertical="center"/>
    </xf>
    <xf numFmtId="0" fontId="25" fillId="25" borderId="2" xfId="0" applyFont="1" applyFill="1" applyBorder="1"/>
    <xf numFmtId="0" fontId="54" fillId="25" borderId="2" xfId="0" applyFont="1" applyFill="1" applyBorder="1"/>
    <xf numFmtId="0" fontId="31" fillId="12" borderId="47" xfId="0" applyFont="1" applyFill="1" applyBorder="1" applyAlignment="1">
      <alignment vertical="center"/>
    </xf>
    <xf numFmtId="0" fontId="31" fillId="12" borderId="49" xfId="0" applyFont="1" applyFill="1" applyBorder="1" applyAlignment="1">
      <alignment vertical="center"/>
    </xf>
    <xf numFmtId="0" fontId="31" fillId="12" borderId="66" xfId="0" applyFont="1" applyFill="1" applyBorder="1" applyAlignment="1">
      <alignment vertical="center"/>
    </xf>
    <xf numFmtId="0" fontId="31" fillId="12" borderId="48" xfId="0" applyFont="1" applyFill="1" applyBorder="1" applyAlignment="1">
      <alignment vertical="center"/>
    </xf>
    <xf numFmtId="0" fontId="3" fillId="5" borderId="3" xfId="0" applyFont="1" applyFill="1" applyBorder="1"/>
    <xf numFmtId="0" fontId="52" fillId="0" borderId="4" xfId="0" applyFont="1" applyBorder="1" applyAlignment="1">
      <alignment horizontal="right" vertical="center"/>
    </xf>
    <xf numFmtId="0" fontId="52" fillId="0" borderId="5" xfId="0" applyFont="1" applyBorder="1" applyAlignment="1">
      <alignment horizontal="left" vertical="center"/>
    </xf>
    <xf numFmtId="0" fontId="52" fillId="0" borderId="5" xfId="0" applyFont="1" applyBorder="1" applyAlignment="1">
      <alignment horizontal="right" vertical="center"/>
    </xf>
    <xf numFmtId="166" fontId="52" fillId="0" borderId="6" xfId="0" applyNumberFormat="1" applyFont="1" applyBorder="1" applyAlignment="1">
      <alignment horizontal="right" vertical="center"/>
    </xf>
    <xf numFmtId="0" fontId="32" fillId="0" borderId="8" xfId="0" applyFont="1" applyBorder="1" applyAlignment="1">
      <alignment horizontal="right" vertical="center"/>
    </xf>
    <xf numFmtId="0" fontId="32" fillId="0" borderId="5" xfId="0" applyFont="1" applyBorder="1" applyAlignment="1">
      <alignment horizontal="right" vertical="center"/>
    </xf>
    <xf numFmtId="0" fontId="28" fillId="0" borderId="5" xfId="0" applyFont="1" applyBorder="1" applyAlignment="1">
      <alignment horizontal="right" vertical="center"/>
    </xf>
    <xf numFmtId="0" fontId="28" fillId="0" borderId="16" xfId="0" applyFont="1" applyBorder="1" applyAlignment="1">
      <alignment horizontal="right" vertical="center"/>
    </xf>
    <xf numFmtId="0" fontId="32" fillId="0" borderId="17" xfId="0" applyFont="1" applyBorder="1" applyAlignment="1">
      <alignment horizontal="right" vertical="center"/>
    </xf>
    <xf numFmtId="0" fontId="32" fillId="0" borderId="7" xfId="0" applyFont="1" applyBorder="1" applyAlignment="1">
      <alignment horizontal="right" vertical="center"/>
    </xf>
    <xf numFmtId="0" fontId="28" fillId="0" borderId="8" xfId="0" applyFont="1" applyBorder="1" applyAlignment="1">
      <alignment horizontal="right" vertical="center"/>
    </xf>
    <xf numFmtId="0" fontId="6" fillId="7" borderId="26" xfId="0" applyFont="1" applyFill="1" applyBorder="1" applyAlignment="1">
      <alignment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vertical="center"/>
    </xf>
    <xf numFmtId="0" fontId="6" fillId="7" borderId="31" xfId="0" applyFont="1" applyFill="1" applyBorder="1" applyAlignment="1">
      <alignment vertical="center"/>
    </xf>
    <xf numFmtId="0" fontId="6" fillId="7" borderId="20" xfId="0" applyFont="1" applyFill="1" applyBorder="1" applyAlignment="1">
      <alignment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vertical="center"/>
    </xf>
    <xf numFmtId="0" fontId="6" fillId="7" borderId="21" xfId="0" applyFont="1" applyFill="1" applyBorder="1" applyAlignment="1">
      <alignment vertical="center"/>
    </xf>
    <xf numFmtId="0" fontId="21" fillId="2" borderId="8" xfId="0" quotePrefix="1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17" fillId="2" borderId="67" xfId="0" applyFont="1" applyFill="1" applyBorder="1" applyAlignment="1">
      <alignment horizontal="center"/>
    </xf>
    <xf numFmtId="0" fontId="44" fillId="14" borderId="52" xfId="0" applyFont="1" applyFill="1" applyBorder="1"/>
    <xf numFmtId="0" fontId="44" fillId="14" borderId="53" xfId="0" applyFont="1" applyFill="1" applyBorder="1"/>
    <xf numFmtId="0" fontId="44" fillId="14" borderId="54" xfId="0" applyFont="1" applyFill="1" applyBorder="1"/>
    <xf numFmtId="0" fontId="43" fillId="14" borderId="5" xfId="0" applyFont="1" applyFill="1" applyBorder="1"/>
    <xf numFmtId="0" fontId="43" fillId="14" borderId="7" xfId="0" applyFont="1" applyFill="1" applyBorder="1"/>
    <xf numFmtId="0" fontId="43" fillId="14" borderId="6" xfId="0" applyFont="1" applyFill="1" applyBorder="1"/>
    <xf numFmtId="0" fontId="38" fillId="15" borderId="5" xfId="0" applyFont="1" applyFill="1" applyBorder="1"/>
    <xf numFmtId="0" fontId="38" fillId="15" borderId="7" xfId="0" applyFont="1" applyFill="1" applyBorder="1"/>
    <xf numFmtId="0" fontId="38" fillId="15" borderId="6" xfId="0" applyFont="1" applyFill="1" applyBorder="1"/>
    <xf numFmtId="0" fontId="55" fillId="15" borderId="52" xfId="0" applyFont="1" applyFill="1" applyBorder="1"/>
    <xf numFmtId="0" fontId="55" fillId="15" borderId="53" xfId="0" applyFont="1" applyFill="1" applyBorder="1"/>
    <xf numFmtId="0" fontId="55" fillId="15" borderId="54" xfId="0" applyFont="1" applyFill="1" applyBorder="1"/>
    <xf numFmtId="0" fontId="70" fillId="5" borderId="8" xfId="0" applyFont="1" applyFill="1" applyBorder="1" applyAlignment="1">
      <alignment horizontal="right" vertical="center"/>
    </xf>
    <xf numFmtId="0" fontId="71" fillId="5" borderId="8" xfId="0" applyFont="1" applyFill="1" applyBorder="1" applyAlignment="1">
      <alignment horizontal="right" vertical="center"/>
    </xf>
    <xf numFmtId="0" fontId="52" fillId="34" borderId="7" xfId="0" applyFont="1" applyFill="1" applyBorder="1" applyAlignment="1">
      <alignment horizontal="center" vertical="center"/>
    </xf>
    <xf numFmtId="0" fontId="70" fillId="5" borderId="5" xfId="0" applyFont="1" applyFill="1" applyBorder="1" applyAlignment="1">
      <alignment horizontal="right" vertical="center"/>
    </xf>
    <xf numFmtId="0" fontId="50" fillId="33" borderId="5" xfId="0" applyFont="1" applyFill="1" applyBorder="1" applyAlignment="1">
      <alignment horizontal="right" vertical="center"/>
    </xf>
    <xf numFmtId="0" fontId="51" fillId="33" borderId="7" xfId="0" applyFont="1" applyFill="1" applyBorder="1" applyAlignment="1">
      <alignment horizontal="center" vertical="center"/>
    </xf>
    <xf numFmtId="0" fontId="51" fillId="33" borderId="5" xfId="0" applyFont="1" applyFill="1" applyBorder="1" applyAlignment="1">
      <alignment horizontal="right" vertical="center"/>
    </xf>
    <xf numFmtId="0" fontId="29" fillId="40" borderId="5" xfId="0" applyFont="1" applyFill="1" applyBorder="1" applyAlignment="1">
      <alignment horizontal="right" vertical="center"/>
    </xf>
    <xf numFmtId="0" fontId="70" fillId="52" borderId="5" xfId="0" applyFont="1" applyFill="1" applyBorder="1" applyAlignment="1">
      <alignment horizontal="right" vertical="center"/>
    </xf>
    <xf numFmtId="0" fontId="71" fillId="5" borderId="5" xfId="0" applyFont="1" applyFill="1" applyBorder="1" applyAlignment="1">
      <alignment horizontal="right" vertical="center"/>
    </xf>
    <xf numFmtId="0" fontId="70" fillId="5" borderId="16" xfId="0" applyFont="1" applyFill="1" applyBorder="1" applyAlignment="1">
      <alignment horizontal="right" vertical="center"/>
    </xf>
    <xf numFmtId="0" fontId="51" fillId="31" borderId="7" xfId="0" applyFont="1" applyFill="1" applyBorder="1" applyAlignment="1">
      <alignment horizontal="center" vertical="center"/>
    </xf>
    <xf numFmtId="0" fontId="52" fillId="31" borderId="5" xfId="0" applyFont="1" applyFill="1" applyBorder="1" applyAlignment="1">
      <alignment horizontal="right" vertical="center"/>
    </xf>
    <xf numFmtId="0" fontId="70" fillId="53" borderId="5" xfId="0" applyFont="1" applyFill="1" applyBorder="1" applyAlignment="1">
      <alignment horizontal="right" vertical="center"/>
    </xf>
    <xf numFmtId="0" fontId="50" fillId="47" borderId="5" xfId="0" applyFont="1" applyFill="1" applyBorder="1" applyAlignment="1">
      <alignment horizontal="right" vertical="center"/>
    </xf>
    <xf numFmtId="0" fontId="51" fillId="47" borderId="7" xfId="0" applyFont="1" applyFill="1" applyBorder="1" applyAlignment="1">
      <alignment horizontal="center" vertical="center"/>
    </xf>
    <xf numFmtId="0" fontId="51" fillId="47" borderId="5" xfId="0" applyFont="1" applyFill="1" applyBorder="1" applyAlignment="1">
      <alignment vertical="center"/>
    </xf>
    <xf numFmtId="0" fontId="52" fillId="47" borderId="5" xfId="0" applyFont="1" applyFill="1" applyBorder="1" applyAlignment="1">
      <alignment horizontal="right" vertical="center"/>
    </xf>
    <xf numFmtId="0" fontId="29" fillId="41" borderId="5" xfId="0" applyFont="1" applyFill="1" applyBorder="1" applyAlignment="1">
      <alignment horizontal="right" vertical="center"/>
    </xf>
    <xf numFmtId="0" fontId="69" fillId="2" borderId="13" xfId="0" applyFont="1" applyFill="1" applyBorder="1" applyAlignment="1">
      <alignment horizontal="center"/>
    </xf>
    <xf numFmtId="0" fontId="69" fillId="2" borderId="14" xfId="0" applyFont="1" applyFill="1" applyBorder="1" applyAlignment="1">
      <alignment horizontal="center"/>
    </xf>
    <xf numFmtId="0" fontId="69" fillId="2" borderId="12" xfId="0" applyFont="1" applyFill="1" applyBorder="1" applyAlignment="1">
      <alignment horizontal="center"/>
    </xf>
    <xf numFmtId="49" fontId="21" fillId="7" borderId="22" xfId="0" applyNumberFormat="1" applyFont="1" applyFill="1" applyBorder="1" applyAlignment="1">
      <alignment horizontal="center" vertical="center"/>
    </xf>
    <xf numFmtId="0" fontId="21" fillId="7" borderId="27" xfId="0" applyFont="1" applyFill="1" applyBorder="1" applyAlignment="1">
      <alignment horizontal="center" vertical="center"/>
    </xf>
    <xf numFmtId="0" fontId="21" fillId="7" borderId="24" xfId="0" applyFont="1" applyFill="1" applyBorder="1" applyAlignment="1">
      <alignment horizontal="center" vertical="center"/>
    </xf>
    <xf numFmtId="0" fontId="50" fillId="49" borderId="5" xfId="0" applyFont="1" applyFill="1" applyBorder="1" applyAlignment="1">
      <alignment horizontal="right" vertical="center"/>
    </xf>
    <xf numFmtId="0" fontId="50" fillId="37" borderId="52" xfId="0" applyFont="1" applyFill="1" applyBorder="1" applyAlignment="1">
      <alignment horizontal="right" vertical="center"/>
    </xf>
    <xf numFmtId="0" fontId="51" fillId="49" borderId="7" xfId="0" applyFont="1" applyFill="1" applyBorder="1" applyAlignment="1">
      <alignment horizontal="center" vertical="center"/>
    </xf>
    <xf numFmtId="0" fontId="51" fillId="37" borderId="53" xfId="0" applyFont="1" applyFill="1" applyBorder="1" applyAlignment="1">
      <alignment horizontal="center" vertical="center"/>
    </xf>
    <xf numFmtId="0" fontId="51" fillId="49" borderId="5" xfId="0" applyFont="1" applyFill="1" applyBorder="1" applyAlignment="1">
      <alignment vertical="center"/>
    </xf>
    <xf numFmtId="0" fontId="51" fillId="37" borderId="52" xfId="0" applyFont="1" applyFill="1" applyBorder="1" applyAlignment="1">
      <alignment vertical="center"/>
    </xf>
    <xf numFmtId="0" fontId="52" fillId="37" borderId="52" xfId="0" applyFont="1" applyFill="1" applyBorder="1" applyAlignment="1">
      <alignment vertical="center"/>
    </xf>
    <xf numFmtId="0" fontId="52" fillId="49" borderId="5" xfId="0" applyFont="1" applyFill="1" applyBorder="1" applyAlignment="1">
      <alignment horizontal="right" vertical="center"/>
    </xf>
    <xf numFmtId="0" fontId="50" fillId="36" borderId="5" xfId="0" applyFont="1" applyFill="1" applyBorder="1" applyAlignment="1">
      <alignment horizontal="right" vertical="center"/>
    </xf>
    <xf numFmtId="0" fontId="50" fillId="45" borderId="52" xfId="0" applyFont="1" applyFill="1" applyBorder="1" applyAlignment="1">
      <alignment horizontal="right" vertical="center"/>
    </xf>
    <xf numFmtId="0" fontId="50" fillId="36" borderId="5" xfId="0" applyFont="1" applyFill="1" applyBorder="1" applyAlignment="1">
      <alignment horizontal="center" vertical="center"/>
    </xf>
    <xf numFmtId="0" fontId="51" fillId="36" borderId="7" xfId="0" applyFont="1" applyFill="1" applyBorder="1" applyAlignment="1">
      <alignment horizontal="center" vertical="center"/>
    </xf>
    <xf numFmtId="0" fontId="51" fillId="45" borderId="53" xfId="0" applyFont="1" applyFill="1" applyBorder="1" applyAlignment="1">
      <alignment horizontal="center" vertical="center"/>
    </xf>
    <xf numFmtId="0" fontId="51" fillId="36" borderId="5" xfId="0" applyFont="1" applyFill="1" applyBorder="1" applyAlignment="1">
      <alignment vertical="center"/>
    </xf>
    <xf numFmtId="0" fontId="51" fillId="45" borderId="52" xfId="0" applyFont="1" applyFill="1" applyBorder="1" applyAlignment="1">
      <alignment vertical="center"/>
    </xf>
    <xf numFmtId="0" fontId="52" fillId="45" borderId="52" xfId="0" applyFont="1" applyFill="1" applyBorder="1" applyAlignment="1">
      <alignment vertical="center"/>
    </xf>
    <xf numFmtId="0" fontId="52" fillId="36" borderId="5" xfId="0" applyFont="1" applyFill="1" applyBorder="1" applyAlignment="1">
      <alignment horizontal="right" vertical="center"/>
    </xf>
    <xf numFmtId="0" fontId="52" fillId="45" borderId="52" xfId="0" applyFont="1" applyFill="1" applyBorder="1" applyAlignment="1">
      <alignment horizontal="right" vertical="center"/>
    </xf>
    <xf numFmtId="0" fontId="50" fillId="47" borderId="5" xfId="0" applyFont="1" applyFill="1" applyBorder="1" applyAlignment="1">
      <alignment horizontal="center" vertical="center"/>
    </xf>
    <xf numFmtId="0" fontId="50" fillId="45" borderId="52" xfId="0" applyFont="1" applyFill="1" applyBorder="1" applyAlignment="1">
      <alignment horizontal="center" vertical="center"/>
    </xf>
    <xf numFmtId="0" fontId="50" fillId="33" borderId="5" xfId="0" applyFont="1" applyFill="1" applyBorder="1" applyAlignment="1">
      <alignment horizontal="center" vertical="center"/>
    </xf>
    <xf numFmtId="0" fontId="50" fillId="37" borderId="52" xfId="0" quotePrefix="1" applyFont="1" applyFill="1" applyBorder="1" applyAlignment="1">
      <alignment horizontal="center" vertical="center"/>
    </xf>
    <xf numFmtId="0" fontId="50" fillId="49" borderId="5" xfId="0" applyFont="1" applyFill="1" applyBorder="1" applyAlignment="1">
      <alignment horizontal="center" vertical="center"/>
    </xf>
    <xf numFmtId="0" fontId="50" fillId="32" borderId="16" xfId="0" applyFont="1" applyFill="1" applyBorder="1" applyAlignment="1">
      <alignment horizontal="right" vertical="center"/>
    </xf>
    <xf numFmtId="0" fontId="50" fillId="35" borderId="5" xfId="0" applyFont="1" applyFill="1" applyBorder="1" applyAlignment="1">
      <alignment horizontal="right" vertical="center"/>
    </xf>
    <xf numFmtId="0" fontId="50" fillId="32" borderId="16" xfId="0" quotePrefix="1" applyFont="1" applyFill="1" applyBorder="1" applyAlignment="1">
      <alignment horizontal="center" vertical="center"/>
    </xf>
    <xf numFmtId="0" fontId="50" fillId="35" borderId="5" xfId="0" quotePrefix="1" applyFont="1" applyFill="1" applyBorder="1" applyAlignment="1">
      <alignment horizontal="center" vertical="center"/>
    </xf>
    <xf numFmtId="0" fontId="51" fillId="32" borderId="17" xfId="0" applyFont="1" applyFill="1" applyBorder="1" applyAlignment="1">
      <alignment horizontal="center" vertical="center"/>
    </xf>
    <xf numFmtId="0" fontId="51" fillId="35" borderId="7" xfId="0" applyFont="1" applyFill="1" applyBorder="1" applyAlignment="1">
      <alignment horizontal="center" vertical="center"/>
    </xf>
    <xf numFmtId="0" fontId="51" fillId="32" borderId="16" xfId="0" applyFont="1" applyFill="1" applyBorder="1" applyAlignment="1">
      <alignment vertical="center"/>
    </xf>
    <xf numFmtId="0" fontId="51" fillId="35" borderId="5" xfId="0" applyFont="1" applyFill="1" applyBorder="1" applyAlignment="1">
      <alignment vertical="center"/>
    </xf>
    <xf numFmtId="0" fontId="51" fillId="32" borderId="16" xfId="0" applyFont="1" applyFill="1" applyBorder="1" applyAlignment="1">
      <alignment horizontal="right" vertical="center"/>
    </xf>
    <xf numFmtId="0" fontId="52" fillId="35" borderId="5" xfId="0" applyFont="1" applyFill="1" applyBorder="1" applyAlignment="1">
      <alignment horizontal="right" vertical="center"/>
    </xf>
    <xf numFmtId="0" fontId="70" fillId="54" borderId="5" xfId="0" applyFont="1" applyFill="1" applyBorder="1" applyAlignment="1">
      <alignment horizontal="right" vertical="center"/>
    </xf>
    <xf numFmtId="0" fontId="50" fillId="31" borderId="16" xfId="0" applyFont="1" applyFill="1" applyBorder="1" applyAlignment="1">
      <alignment horizontal="right" vertical="center"/>
    </xf>
    <xf numFmtId="0" fontId="53" fillId="34" borderId="5" xfId="0" applyFont="1" applyFill="1" applyBorder="1" applyAlignment="1">
      <alignment horizontal="right" vertical="center"/>
    </xf>
    <xf numFmtId="0" fontId="51" fillId="31" borderId="16" xfId="0" applyFont="1" applyFill="1" applyBorder="1" applyAlignment="1">
      <alignment vertical="center"/>
    </xf>
    <xf numFmtId="0" fontId="52" fillId="31" borderId="16" xfId="0" applyFont="1" applyFill="1" applyBorder="1" applyAlignment="1">
      <alignment vertical="center"/>
    </xf>
    <xf numFmtId="0" fontId="50" fillId="31" borderId="16" xfId="0" applyFont="1" applyFill="1" applyBorder="1" applyAlignment="1">
      <alignment horizontal="center" vertical="center"/>
    </xf>
    <xf numFmtId="0" fontId="50" fillId="34" borderId="5" xfId="0" applyFont="1" applyFill="1" applyBorder="1" applyAlignment="1">
      <alignment horizontal="center" vertical="center"/>
    </xf>
    <xf numFmtId="0" fontId="70" fillId="5" borderId="7" xfId="0" applyFont="1" applyFill="1" applyBorder="1" applyAlignment="1">
      <alignment horizontal="right" vertical="center"/>
    </xf>
    <xf numFmtId="0" fontId="28" fillId="0" borderId="17" xfId="0" applyFont="1" applyBorder="1" applyAlignment="1">
      <alignment horizontal="right" vertical="center"/>
    </xf>
    <xf numFmtId="0" fontId="70" fillId="5" borderId="17" xfId="0" applyFont="1" applyFill="1" applyBorder="1" applyAlignment="1">
      <alignment horizontal="right" vertical="center"/>
    </xf>
    <xf numFmtId="166" fontId="52" fillId="2" borderId="5" xfId="0" applyNumberFormat="1" applyFont="1" applyFill="1" applyBorder="1" applyAlignment="1">
      <alignment horizontal="right" vertical="center"/>
    </xf>
    <xf numFmtId="0" fontId="52" fillId="2" borderId="32" xfId="0" applyFont="1" applyFill="1" applyBorder="1" applyAlignment="1">
      <alignment horizontal="right" vertical="center"/>
    </xf>
    <xf numFmtId="0" fontId="52" fillId="2" borderId="16" xfId="0" applyFont="1" applyFill="1" applyBorder="1" applyAlignment="1">
      <alignment horizontal="left" vertical="center"/>
    </xf>
    <xf numFmtId="0" fontId="52" fillId="2" borderId="16" xfId="0" applyFont="1" applyFill="1" applyBorder="1" applyAlignment="1">
      <alignment horizontal="right" vertical="center"/>
    </xf>
    <xf numFmtId="166" fontId="52" fillId="2" borderId="18" xfId="0" applyNumberFormat="1" applyFont="1" applyFill="1" applyBorder="1" applyAlignment="1">
      <alignment horizontal="right" vertical="center"/>
    </xf>
    <xf numFmtId="0" fontId="60" fillId="7" borderId="1" xfId="0" applyFont="1" applyFill="1" applyBorder="1" applyAlignment="1">
      <alignment horizontal="center"/>
    </xf>
    <xf numFmtId="0" fontId="60" fillId="7" borderId="2" xfId="0" applyFont="1" applyFill="1" applyBorder="1" applyAlignment="1">
      <alignment horizontal="center"/>
    </xf>
    <xf numFmtId="0" fontId="60" fillId="7" borderId="3" xfId="0" applyFont="1" applyFill="1" applyBorder="1" applyAlignment="1">
      <alignment horizontal="center"/>
    </xf>
    <xf numFmtId="0" fontId="52" fillId="7" borderId="5" xfId="0" applyFont="1" applyFill="1" applyBorder="1" applyAlignment="1">
      <alignment horizontal="right" vertical="center"/>
    </xf>
    <xf numFmtId="0" fontId="52" fillId="7" borderId="5" xfId="0" applyFont="1" applyFill="1" applyBorder="1" applyAlignment="1">
      <alignment horizontal="left" vertical="center"/>
    </xf>
    <xf numFmtId="166" fontId="52" fillId="7" borderId="5" xfId="0" applyNumberFormat="1" applyFont="1" applyFill="1" applyBorder="1" applyAlignment="1">
      <alignment horizontal="right" vertical="center"/>
    </xf>
    <xf numFmtId="0" fontId="52" fillId="7" borderId="4" xfId="0" applyFont="1" applyFill="1" applyBorder="1" applyAlignment="1">
      <alignment horizontal="right" vertical="center"/>
    </xf>
    <xf numFmtId="166" fontId="52" fillId="7" borderId="6" xfId="0" applyNumberFormat="1" applyFont="1" applyFill="1" applyBorder="1" applyAlignment="1">
      <alignment horizontal="right" vertical="center"/>
    </xf>
    <xf numFmtId="0" fontId="52" fillId="7" borderId="58" xfId="0" applyFont="1" applyFill="1" applyBorder="1" applyAlignment="1">
      <alignment horizontal="right" vertical="center"/>
    </xf>
    <xf numFmtId="0" fontId="52" fillId="7" borderId="52" xfId="0" applyFont="1" applyFill="1" applyBorder="1" applyAlignment="1">
      <alignment horizontal="left" vertical="center"/>
    </xf>
    <xf numFmtId="0" fontId="52" fillId="7" borderId="52" xfId="0" applyFont="1" applyFill="1" applyBorder="1" applyAlignment="1">
      <alignment horizontal="right" vertical="center"/>
    </xf>
    <xf numFmtId="166" fontId="52" fillId="7" borderId="54" xfId="0" applyNumberFormat="1" applyFont="1" applyFill="1" applyBorder="1" applyAlignment="1">
      <alignment horizontal="right" vertical="center"/>
    </xf>
    <xf numFmtId="0" fontId="52" fillId="7" borderId="9" xfId="0" applyFont="1" applyFill="1" applyBorder="1" applyAlignment="1">
      <alignment horizontal="right" vertical="center"/>
    </xf>
    <xf numFmtId="0" fontId="52" fillId="7" borderId="10" xfId="0" applyFont="1" applyFill="1" applyBorder="1" applyAlignment="1">
      <alignment horizontal="left" vertical="center"/>
    </xf>
    <xf numFmtId="0" fontId="52" fillId="7" borderId="10" xfId="0" applyFont="1" applyFill="1" applyBorder="1" applyAlignment="1">
      <alignment horizontal="right" vertical="center"/>
    </xf>
    <xf numFmtId="166" fontId="52" fillId="7" borderId="11" xfId="0" applyNumberFormat="1" applyFont="1" applyFill="1" applyBorder="1" applyAlignment="1">
      <alignment horizontal="right" vertical="center"/>
    </xf>
    <xf numFmtId="0" fontId="33" fillId="0" borderId="5" xfId="0" applyFont="1" applyBorder="1" applyAlignment="1">
      <alignment horizontal="right" vertical="center"/>
    </xf>
    <xf numFmtId="165" fontId="72" fillId="0" borderId="46" xfId="0" applyNumberFormat="1" applyFont="1" applyBorder="1" applyAlignment="1">
      <alignment horizontal="center"/>
    </xf>
    <xf numFmtId="165" fontId="72" fillId="2" borderId="37" xfId="0" applyNumberFormat="1" applyFont="1" applyFill="1" applyBorder="1" applyAlignment="1">
      <alignment horizontal="center"/>
    </xf>
    <xf numFmtId="165" fontId="72" fillId="0" borderId="37" xfId="0" applyNumberFormat="1" applyFont="1" applyBorder="1" applyAlignment="1">
      <alignment horizontal="center"/>
    </xf>
    <xf numFmtId="165" fontId="72" fillId="2" borderId="56" xfId="0" applyNumberFormat="1" applyFont="1" applyFill="1" applyBorder="1" applyAlignment="1">
      <alignment horizontal="center"/>
    </xf>
    <xf numFmtId="165" fontId="73" fillId="2" borderId="56" xfId="0" applyNumberFormat="1" applyFont="1" applyFill="1" applyBorder="1" applyAlignment="1">
      <alignment horizontal="center"/>
    </xf>
    <xf numFmtId="165" fontId="73" fillId="0" borderId="37" xfId="0" applyNumberFormat="1" applyFont="1" applyBorder="1" applyAlignment="1">
      <alignment horizontal="center"/>
    </xf>
    <xf numFmtId="165" fontId="73" fillId="2" borderId="45" xfId="0" applyNumberFormat="1" applyFont="1" applyFill="1" applyBorder="1" applyAlignment="1">
      <alignment horizontal="center"/>
    </xf>
    <xf numFmtId="165" fontId="73" fillId="0" borderId="25" xfId="0" applyNumberFormat="1" applyFont="1" applyBorder="1" applyAlignment="1">
      <alignment horizontal="center"/>
    </xf>
    <xf numFmtId="0" fontId="31" fillId="10" borderId="47" xfId="0" applyFont="1" applyFill="1" applyBorder="1" applyAlignment="1">
      <alignment horizontal="left" vertical="center"/>
    </xf>
    <xf numFmtId="0" fontId="31" fillId="10" borderId="49" xfId="0" applyFont="1" applyFill="1" applyBorder="1" applyAlignment="1">
      <alignment horizontal="left" vertical="center"/>
    </xf>
    <xf numFmtId="0" fontId="31" fillId="10" borderId="66" xfId="0" applyFont="1" applyFill="1" applyBorder="1" applyAlignment="1">
      <alignment horizontal="left" vertical="center"/>
    </xf>
    <xf numFmtId="0" fontId="31" fillId="10" borderId="48" xfId="0" applyFont="1" applyFill="1" applyBorder="1" applyAlignment="1">
      <alignment horizontal="left" vertical="center"/>
    </xf>
    <xf numFmtId="0" fontId="25" fillId="28" borderId="2" xfId="0" applyFont="1" applyFill="1" applyBorder="1" applyAlignment="1">
      <alignment vertical="center"/>
    </xf>
    <xf numFmtId="0" fontId="54" fillId="28" borderId="2" xfId="0" applyFont="1" applyFill="1" applyBorder="1"/>
    <xf numFmtId="0" fontId="25" fillId="55" borderId="47" xfId="0" applyFont="1" applyFill="1" applyBorder="1" applyAlignment="1">
      <alignment horizontal="center" vertical="center"/>
    </xf>
    <xf numFmtId="0" fontId="31" fillId="55" borderId="47" xfId="0" applyFont="1" applyFill="1" applyBorder="1" applyAlignment="1">
      <alignment horizontal="center" vertical="center"/>
    </xf>
    <xf numFmtId="0" fontId="31" fillId="55" borderId="47" xfId="0" applyFont="1" applyFill="1" applyBorder="1" applyAlignment="1">
      <alignment vertical="center"/>
    </xf>
    <xf numFmtId="0" fontId="25" fillId="55" borderId="49" xfId="0" applyFont="1" applyFill="1" applyBorder="1" applyAlignment="1">
      <alignment horizontal="center" vertical="center"/>
    </xf>
    <xf numFmtId="0" fontId="31" fillId="55" borderId="49" xfId="0" applyFont="1" applyFill="1" applyBorder="1" applyAlignment="1">
      <alignment horizontal="center" vertical="center"/>
    </xf>
    <xf numFmtId="0" fontId="31" fillId="55" borderId="49" xfId="0" applyFont="1" applyFill="1" applyBorder="1" applyAlignment="1">
      <alignment vertical="center"/>
    </xf>
    <xf numFmtId="0" fontId="25" fillId="55" borderId="66" xfId="0" applyFont="1" applyFill="1" applyBorder="1" applyAlignment="1">
      <alignment horizontal="center" vertical="center"/>
    </xf>
    <xf numFmtId="0" fontId="31" fillId="55" borderId="66" xfId="0" applyFont="1" applyFill="1" applyBorder="1" applyAlignment="1">
      <alignment horizontal="center" vertical="center"/>
    </xf>
    <xf numFmtId="0" fontId="31" fillId="55" borderId="66" xfId="0" applyFont="1" applyFill="1" applyBorder="1" applyAlignment="1">
      <alignment vertical="center"/>
    </xf>
    <xf numFmtId="0" fontId="25" fillId="55" borderId="48" xfId="0" applyFont="1" applyFill="1" applyBorder="1" applyAlignment="1">
      <alignment horizontal="center" vertical="center"/>
    </xf>
    <xf numFmtId="0" fontId="31" fillId="55" borderId="48" xfId="0" applyFont="1" applyFill="1" applyBorder="1" applyAlignment="1">
      <alignment horizontal="center" vertical="center"/>
    </xf>
    <xf numFmtId="0" fontId="31" fillId="55" borderId="48" xfId="0" applyFont="1" applyFill="1" applyBorder="1" applyAlignment="1">
      <alignment vertical="center"/>
    </xf>
    <xf numFmtId="0" fontId="28" fillId="55" borderId="60" xfId="0" applyFont="1" applyFill="1" applyBorder="1" applyAlignment="1">
      <alignment horizontal="center" vertical="center"/>
    </xf>
    <xf numFmtId="0" fontId="29" fillId="55" borderId="60" xfId="0" applyFont="1" applyFill="1" applyBorder="1" applyAlignment="1">
      <alignment horizontal="center" vertical="center"/>
    </xf>
    <xf numFmtId="0" fontId="28" fillId="55" borderId="48" xfId="0" applyFont="1" applyFill="1" applyBorder="1" applyAlignment="1">
      <alignment horizontal="center" vertical="center"/>
    </xf>
    <xf numFmtId="0" fontId="25" fillId="29" borderId="2" xfId="0" applyFont="1" applyFill="1" applyBorder="1"/>
    <xf numFmtId="0" fontId="4" fillId="39" borderId="26" xfId="0" applyFont="1" applyFill="1" applyBorder="1" applyAlignment="1">
      <alignment horizontal="left" vertical="center"/>
    </xf>
    <xf numFmtId="0" fontId="4" fillId="39" borderId="0" xfId="0" applyFont="1" applyFill="1" applyAlignment="1">
      <alignment horizontal="left" vertical="center"/>
    </xf>
    <xf numFmtId="0" fontId="30" fillId="3" borderId="33" xfId="0" applyFont="1" applyFill="1" applyBorder="1" applyAlignment="1">
      <alignment horizontal="right" vertical="center"/>
    </xf>
    <xf numFmtId="0" fontId="30" fillId="3" borderId="34" xfId="0" applyFont="1" applyFill="1" applyBorder="1" applyAlignment="1">
      <alignment horizontal="right" vertical="center"/>
    </xf>
    <xf numFmtId="0" fontId="30" fillId="3" borderId="15" xfId="0" applyFont="1" applyFill="1" applyBorder="1" applyAlignment="1">
      <alignment horizontal="right" vertical="center"/>
    </xf>
    <xf numFmtId="0" fontId="24" fillId="28" borderId="1" xfId="0" applyFont="1" applyFill="1" applyBorder="1" applyAlignment="1">
      <alignment horizontal="center"/>
    </xf>
    <xf numFmtId="0" fontId="24" fillId="28" borderId="2" xfId="0" applyFont="1" applyFill="1" applyBorder="1" applyAlignment="1">
      <alignment horizontal="center"/>
    </xf>
    <xf numFmtId="0" fontId="24" fillId="20" borderId="1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6" fillId="3" borderId="20" xfId="0" applyFont="1" applyFill="1" applyBorder="1" applyAlignment="1">
      <alignment horizontal="right" vertical="center"/>
    </xf>
    <xf numFmtId="0" fontId="26" fillId="3" borderId="19" xfId="0" applyFont="1" applyFill="1" applyBorder="1" applyAlignment="1">
      <alignment horizontal="right" vertical="center"/>
    </xf>
    <xf numFmtId="0" fontId="26" fillId="3" borderId="43" xfId="0" applyFont="1" applyFill="1" applyBorder="1" applyAlignment="1">
      <alignment horizontal="right" vertical="center"/>
    </xf>
    <xf numFmtId="0" fontId="30" fillId="3" borderId="35" xfId="0" applyFont="1" applyFill="1" applyBorder="1" applyAlignment="1">
      <alignment horizontal="right" vertical="center"/>
    </xf>
    <xf numFmtId="0" fontId="30" fillId="3" borderId="36" xfId="0" applyFont="1" applyFill="1" applyBorder="1" applyAlignment="1">
      <alignment horizontal="right" vertical="center"/>
    </xf>
    <xf numFmtId="0" fontId="30" fillId="3" borderId="8" xfId="0" applyFont="1" applyFill="1" applyBorder="1" applyAlignment="1">
      <alignment horizontal="right" vertical="center"/>
    </xf>
    <xf numFmtId="0" fontId="24" fillId="18" borderId="1" xfId="0" applyFont="1" applyFill="1" applyBorder="1" applyAlignment="1">
      <alignment horizontal="center"/>
    </xf>
    <xf numFmtId="0" fontId="24" fillId="18" borderId="2" xfId="0" applyFont="1" applyFill="1" applyBorder="1" applyAlignment="1">
      <alignment horizontal="center"/>
    </xf>
    <xf numFmtId="0" fontId="27" fillId="12" borderId="26" xfId="0" applyFont="1" applyFill="1" applyBorder="1" applyAlignment="1">
      <alignment horizontal="center" vertical="center"/>
    </xf>
    <xf numFmtId="0" fontId="27" fillId="12" borderId="0" xfId="0" applyFont="1" applyFill="1" applyAlignment="1">
      <alignment horizontal="center" vertical="center"/>
    </xf>
    <xf numFmtId="0" fontId="27" fillId="12" borderId="31" xfId="0" applyFont="1" applyFill="1" applyBorder="1" applyAlignment="1">
      <alignment horizontal="center" vertical="center"/>
    </xf>
    <xf numFmtId="0" fontId="27" fillId="12" borderId="20" xfId="0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center"/>
    </xf>
    <xf numFmtId="0" fontId="24" fillId="23" borderId="2" xfId="0" applyFont="1" applyFill="1" applyBorder="1" applyAlignment="1">
      <alignment horizontal="center"/>
    </xf>
    <xf numFmtId="0" fontId="27" fillId="21" borderId="26" xfId="0" applyFont="1" applyFill="1" applyBorder="1" applyAlignment="1">
      <alignment horizontal="center" vertical="center"/>
    </xf>
    <xf numFmtId="0" fontId="27" fillId="21" borderId="0" xfId="0" applyFont="1" applyFill="1" applyAlignment="1">
      <alignment horizontal="center" vertical="center"/>
    </xf>
    <xf numFmtId="0" fontId="27" fillId="21" borderId="31" xfId="0" applyFont="1" applyFill="1" applyBorder="1" applyAlignment="1">
      <alignment horizontal="center" vertical="center"/>
    </xf>
    <xf numFmtId="0" fontId="27" fillId="21" borderId="20" xfId="0" applyFont="1" applyFill="1" applyBorder="1" applyAlignment="1">
      <alignment horizontal="center" vertical="center"/>
    </xf>
    <xf numFmtId="0" fontId="27" fillId="21" borderId="19" xfId="0" applyFont="1" applyFill="1" applyBorder="1" applyAlignment="1">
      <alignment horizontal="center" vertical="center"/>
    </xf>
    <xf numFmtId="0" fontId="27" fillId="21" borderId="21" xfId="0" applyFont="1" applyFill="1" applyBorder="1" applyAlignment="1">
      <alignment horizontal="center" vertical="center"/>
    </xf>
    <xf numFmtId="0" fontId="27" fillId="50" borderId="13" xfId="0" applyFont="1" applyFill="1" applyBorder="1" applyAlignment="1">
      <alignment horizontal="center" vertical="center"/>
    </xf>
    <xf numFmtId="0" fontId="27" fillId="50" borderId="14" xfId="0" applyFont="1" applyFill="1" applyBorder="1" applyAlignment="1">
      <alignment horizontal="center" vertical="center"/>
    </xf>
    <xf numFmtId="0" fontId="27" fillId="50" borderId="12" xfId="0" applyFont="1" applyFill="1" applyBorder="1" applyAlignment="1">
      <alignment horizontal="center" vertical="center"/>
    </xf>
    <xf numFmtId="0" fontId="27" fillId="50" borderId="20" xfId="0" applyFont="1" applyFill="1" applyBorder="1" applyAlignment="1">
      <alignment horizontal="center" vertical="center"/>
    </xf>
    <xf numFmtId="0" fontId="27" fillId="50" borderId="19" xfId="0" applyFont="1" applyFill="1" applyBorder="1" applyAlignment="1">
      <alignment horizontal="center" vertical="center"/>
    </xf>
    <xf numFmtId="0" fontId="27" fillId="50" borderId="21" xfId="0" applyFont="1" applyFill="1" applyBorder="1" applyAlignment="1">
      <alignment horizontal="center" vertical="center"/>
    </xf>
    <xf numFmtId="0" fontId="26" fillId="26" borderId="1" xfId="0" applyFont="1" applyFill="1" applyBorder="1" applyAlignment="1">
      <alignment horizontal="center"/>
    </xf>
    <xf numFmtId="0" fontId="26" fillId="26" borderId="2" xfId="0" applyFont="1" applyFill="1" applyBorder="1" applyAlignment="1">
      <alignment horizontal="center"/>
    </xf>
    <xf numFmtId="0" fontId="26" fillId="26" borderId="3" xfId="0" applyFont="1" applyFill="1" applyBorder="1" applyAlignment="1">
      <alignment horizontal="center"/>
    </xf>
    <xf numFmtId="0" fontId="26" fillId="25" borderId="1" xfId="0" applyFont="1" applyFill="1" applyBorder="1" applyAlignment="1">
      <alignment horizontal="center"/>
    </xf>
    <xf numFmtId="0" fontId="26" fillId="25" borderId="2" xfId="0" applyFont="1" applyFill="1" applyBorder="1" applyAlignment="1">
      <alignment horizontal="center"/>
    </xf>
    <xf numFmtId="0" fontId="26" fillId="25" borderId="3" xfId="0" applyFont="1" applyFill="1" applyBorder="1" applyAlignment="1">
      <alignment horizontal="center"/>
    </xf>
    <xf numFmtId="0" fontId="29" fillId="16" borderId="47" xfId="0" applyFont="1" applyFill="1" applyBorder="1" applyAlignment="1">
      <alignment horizontal="center" vertical="center"/>
    </xf>
    <xf numFmtId="0" fontId="29" fillId="16" borderId="48" xfId="0" applyFont="1" applyFill="1" applyBorder="1" applyAlignment="1">
      <alignment horizontal="center" vertical="center"/>
    </xf>
    <xf numFmtId="165" fontId="29" fillId="16" borderId="47" xfId="0" applyNumberFormat="1" applyFont="1" applyFill="1" applyBorder="1" applyAlignment="1">
      <alignment horizontal="center" vertical="center"/>
    </xf>
    <xf numFmtId="165" fontId="29" fillId="16" borderId="48" xfId="0" applyNumberFormat="1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/>
    </xf>
    <xf numFmtId="0" fontId="26" fillId="19" borderId="2" xfId="0" applyFont="1" applyFill="1" applyBorder="1" applyAlignment="1">
      <alignment horizontal="center"/>
    </xf>
    <xf numFmtId="0" fontId="26" fillId="19" borderId="3" xfId="0" applyFont="1" applyFill="1" applyBorder="1" applyAlignment="1">
      <alignment horizontal="center"/>
    </xf>
    <xf numFmtId="0" fontId="26" fillId="23" borderId="1" xfId="0" applyFont="1" applyFill="1" applyBorder="1" applyAlignment="1">
      <alignment horizontal="center"/>
    </xf>
    <xf numFmtId="0" fontId="26" fillId="23" borderId="2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9" fillId="21" borderId="47" xfId="0" applyFont="1" applyFill="1" applyBorder="1" applyAlignment="1">
      <alignment horizontal="center" vertical="center"/>
    </xf>
    <xf numFmtId="0" fontId="29" fillId="21" borderId="48" xfId="0" applyFont="1" applyFill="1" applyBorder="1" applyAlignment="1">
      <alignment horizontal="center" vertical="center"/>
    </xf>
    <xf numFmtId="165" fontId="29" fillId="21" borderId="47" xfId="0" applyNumberFormat="1" applyFont="1" applyFill="1" applyBorder="1" applyAlignment="1">
      <alignment horizontal="center" vertical="center"/>
    </xf>
    <xf numFmtId="165" fontId="29" fillId="21" borderId="48" xfId="0" applyNumberFormat="1" applyFont="1" applyFill="1" applyBorder="1" applyAlignment="1">
      <alignment horizontal="center" vertical="center"/>
    </xf>
    <xf numFmtId="0" fontId="30" fillId="21" borderId="47" xfId="0" applyFont="1" applyFill="1" applyBorder="1" applyAlignment="1">
      <alignment horizontal="center" vertical="center"/>
    </xf>
    <xf numFmtId="0" fontId="30" fillId="21" borderId="48" xfId="0" applyFont="1" applyFill="1" applyBorder="1" applyAlignment="1">
      <alignment horizontal="center" vertical="center"/>
    </xf>
    <xf numFmtId="0" fontId="26" fillId="17" borderId="1" xfId="0" applyFont="1" applyFill="1" applyBorder="1" applyAlignment="1">
      <alignment horizontal="center"/>
    </xf>
    <xf numFmtId="0" fontId="26" fillId="17" borderId="2" xfId="0" applyFont="1" applyFill="1" applyBorder="1" applyAlignment="1">
      <alignment horizontal="center"/>
    </xf>
    <xf numFmtId="0" fontId="26" fillId="17" borderId="3" xfId="0" applyFont="1" applyFill="1" applyBorder="1" applyAlignment="1">
      <alignment horizontal="center"/>
    </xf>
    <xf numFmtId="165" fontId="29" fillId="10" borderId="47" xfId="0" applyNumberFormat="1" applyFont="1" applyFill="1" applyBorder="1" applyAlignment="1">
      <alignment horizontal="center" vertical="center"/>
    </xf>
    <xf numFmtId="165" fontId="29" fillId="10" borderId="48" xfId="0" applyNumberFormat="1" applyFont="1" applyFill="1" applyBorder="1" applyAlignment="1">
      <alignment horizontal="center" vertical="center"/>
    </xf>
    <xf numFmtId="0" fontId="29" fillId="10" borderId="47" xfId="0" applyFont="1" applyFill="1" applyBorder="1" applyAlignment="1">
      <alignment horizontal="center" vertical="center"/>
    </xf>
    <xf numFmtId="0" fontId="29" fillId="10" borderId="48" xfId="0" applyFont="1" applyFill="1" applyBorder="1" applyAlignment="1">
      <alignment horizontal="center" vertical="center"/>
    </xf>
    <xf numFmtId="0" fontId="26" fillId="18" borderId="1" xfId="0" applyFont="1" applyFill="1" applyBorder="1" applyAlignment="1">
      <alignment horizontal="center"/>
    </xf>
    <xf numFmtId="0" fontId="26" fillId="18" borderId="2" xfId="0" applyFont="1" applyFill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30" fillId="10" borderId="47" xfId="0" applyFont="1" applyFill="1" applyBorder="1" applyAlignment="1">
      <alignment horizontal="center" vertical="center"/>
    </xf>
    <xf numFmtId="0" fontId="30" fillId="10" borderId="48" xfId="0" applyFont="1" applyFill="1" applyBorder="1" applyAlignment="1">
      <alignment horizontal="center" vertical="center"/>
    </xf>
    <xf numFmtId="0" fontId="26" fillId="20" borderId="1" xfId="0" applyFont="1" applyFill="1" applyBorder="1" applyAlignment="1">
      <alignment horizontal="center"/>
    </xf>
    <xf numFmtId="0" fontId="26" fillId="20" borderId="2" xfId="0" applyFont="1" applyFill="1" applyBorder="1" applyAlignment="1">
      <alignment horizontal="center"/>
    </xf>
    <xf numFmtId="0" fontId="26" fillId="20" borderId="3" xfId="0" applyFont="1" applyFill="1" applyBorder="1" applyAlignment="1">
      <alignment horizontal="center"/>
    </xf>
    <xf numFmtId="0" fontId="30" fillId="50" borderId="47" xfId="0" applyFont="1" applyFill="1" applyBorder="1" applyAlignment="1">
      <alignment horizontal="center" vertical="center"/>
    </xf>
    <xf numFmtId="0" fontId="30" fillId="50" borderId="48" xfId="0" applyFont="1" applyFill="1" applyBorder="1" applyAlignment="1">
      <alignment horizontal="center" vertical="center"/>
    </xf>
    <xf numFmtId="165" fontId="29" fillId="46" borderId="47" xfId="0" applyNumberFormat="1" applyFont="1" applyFill="1" applyBorder="1" applyAlignment="1">
      <alignment horizontal="center" vertical="center"/>
    </xf>
    <xf numFmtId="165" fontId="29" fillId="46" borderId="48" xfId="0" applyNumberFormat="1" applyFont="1" applyFill="1" applyBorder="1" applyAlignment="1">
      <alignment horizontal="center" vertical="center"/>
    </xf>
    <xf numFmtId="0" fontId="26" fillId="29" borderId="1" xfId="0" applyFont="1" applyFill="1" applyBorder="1" applyAlignment="1">
      <alignment horizontal="center"/>
    </xf>
    <xf numFmtId="0" fontId="26" fillId="29" borderId="2" xfId="0" applyFont="1" applyFill="1" applyBorder="1" applyAlignment="1">
      <alignment horizontal="center"/>
    </xf>
    <xf numFmtId="0" fontId="26" fillId="29" borderId="3" xfId="0" applyFont="1" applyFill="1" applyBorder="1" applyAlignment="1">
      <alignment horizontal="center"/>
    </xf>
    <xf numFmtId="0" fontId="30" fillId="12" borderId="47" xfId="0" applyFont="1" applyFill="1" applyBorder="1" applyAlignment="1">
      <alignment horizontal="center" vertical="center"/>
    </xf>
    <xf numFmtId="0" fontId="30" fillId="12" borderId="48" xfId="0" applyFont="1" applyFill="1" applyBorder="1" applyAlignment="1">
      <alignment horizontal="center" vertical="center"/>
    </xf>
    <xf numFmtId="165" fontId="29" fillId="12" borderId="47" xfId="0" applyNumberFormat="1" applyFont="1" applyFill="1" applyBorder="1" applyAlignment="1">
      <alignment horizontal="center" vertical="center"/>
    </xf>
    <xf numFmtId="165" fontId="29" fillId="12" borderId="48" xfId="0" applyNumberFormat="1" applyFont="1" applyFill="1" applyBorder="1" applyAlignment="1">
      <alignment horizontal="center" vertical="center"/>
    </xf>
    <xf numFmtId="0" fontId="29" fillId="50" borderId="47" xfId="0" applyFont="1" applyFill="1" applyBorder="1" applyAlignment="1">
      <alignment horizontal="center" vertical="center"/>
    </xf>
    <xf numFmtId="0" fontId="29" fillId="50" borderId="48" xfId="0" applyFont="1" applyFill="1" applyBorder="1" applyAlignment="1">
      <alignment horizontal="center" vertical="center"/>
    </xf>
    <xf numFmtId="165" fontId="29" fillId="50" borderId="47" xfId="0" applyNumberFormat="1" applyFont="1" applyFill="1" applyBorder="1" applyAlignment="1">
      <alignment horizontal="center" vertical="center"/>
    </xf>
    <xf numFmtId="165" fontId="29" fillId="50" borderId="48" xfId="0" applyNumberFormat="1" applyFont="1" applyFill="1" applyBorder="1" applyAlignment="1">
      <alignment horizontal="center" vertical="center"/>
    </xf>
    <xf numFmtId="0" fontId="26" fillId="24" borderId="1" xfId="0" applyFont="1" applyFill="1" applyBorder="1" applyAlignment="1">
      <alignment horizontal="center"/>
    </xf>
    <xf numFmtId="0" fontId="26" fillId="24" borderId="2" xfId="0" applyFont="1" applyFill="1" applyBorder="1" applyAlignment="1">
      <alignment horizontal="center"/>
    </xf>
    <xf numFmtId="0" fontId="26" fillId="24" borderId="3" xfId="0" applyFont="1" applyFill="1" applyBorder="1" applyAlignment="1">
      <alignment horizontal="center"/>
    </xf>
    <xf numFmtId="0" fontId="30" fillId="13" borderId="47" xfId="0" applyFont="1" applyFill="1" applyBorder="1" applyAlignment="1">
      <alignment horizontal="center" vertical="center"/>
    </xf>
    <xf numFmtId="0" fontId="30" fillId="13" borderId="48" xfId="0" applyFont="1" applyFill="1" applyBorder="1" applyAlignment="1">
      <alignment horizontal="center" vertical="center"/>
    </xf>
    <xf numFmtId="165" fontId="29" fillId="13" borderId="47" xfId="0" applyNumberFormat="1" applyFont="1" applyFill="1" applyBorder="1" applyAlignment="1">
      <alignment horizontal="center" vertical="center"/>
    </xf>
    <xf numFmtId="165" fontId="29" fillId="13" borderId="48" xfId="0" applyNumberFormat="1" applyFont="1" applyFill="1" applyBorder="1" applyAlignment="1">
      <alignment horizontal="center" vertical="center"/>
    </xf>
    <xf numFmtId="0" fontId="29" fillId="13" borderId="47" xfId="0" applyFont="1" applyFill="1" applyBorder="1" applyAlignment="1">
      <alignment horizontal="center" vertical="center"/>
    </xf>
    <xf numFmtId="0" fontId="29" fillId="13" borderId="48" xfId="0" applyFont="1" applyFill="1" applyBorder="1" applyAlignment="1">
      <alignment horizontal="center" vertical="center"/>
    </xf>
    <xf numFmtId="0" fontId="30" fillId="48" borderId="47" xfId="0" applyFont="1" applyFill="1" applyBorder="1" applyAlignment="1">
      <alignment horizontal="center" vertical="center"/>
    </xf>
    <xf numFmtId="0" fontId="30" fillId="48" borderId="48" xfId="0" applyFont="1" applyFill="1" applyBorder="1" applyAlignment="1">
      <alignment horizontal="center" vertical="center"/>
    </xf>
    <xf numFmtId="165" fontId="29" fillId="55" borderId="47" xfId="0" applyNumberFormat="1" applyFont="1" applyFill="1" applyBorder="1" applyAlignment="1">
      <alignment horizontal="center" vertical="center"/>
    </xf>
    <xf numFmtId="165" fontId="29" fillId="55" borderId="48" xfId="0" applyNumberFormat="1" applyFont="1" applyFill="1" applyBorder="1" applyAlignment="1">
      <alignment horizontal="center" vertical="center"/>
    </xf>
    <xf numFmtId="0" fontId="30" fillId="55" borderId="47" xfId="0" applyFont="1" applyFill="1" applyBorder="1" applyAlignment="1">
      <alignment horizontal="center" vertical="center"/>
    </xf>
    <xf numFmtId="0" fontId="30" fillId="55" borderId="48" xfId="0" applyFont="1" applyFill="1" applyBorder="1" applyAlignment="1">
      <alignment horizontal="center" vertical="center"/>
    </xf>
    <xf numFmtId="0" fontId="29" fillId="55" borderId="47" xfId="0" applyFont="1" applyFill="1" applyBorder="1" applyAlignment="1">
      <alignment horizontal="center" vertical="center"/>
    </xf>
    <xf numFmtId="0" fontId="29" fillId="55" borderId="48" xfId="0" applyFont="1" applyFill="1" applyBorder="1" applyAlignment="1">
      <alignment horizontal="center" vertical="center"/>
    </xf>
    <xf numFmtId="165" fontId="29" fillId="48" borderId="47" xfId="0" applyNumberFormat="1" applyFont="1" applyFill="1" applyBorder="1" applyAlignment="1">
      <alignment horizontal="center" vertical="center"/>
    </xf>
    <xf numFmtId="165" fontId="29" fillId="48" borderId="48" xfId="0" applyNumberFormat="1" applyFont="1" applyFill="1" applyBorder="1" applyAlignment="1">
      <alignment horizontal="center" vertical="center"/>
    </xf>
    <xf numFmtId="0" fontId="29" fillId="48" borderId="47" xfId="0" applyFont="1" applyFill="1" applyBorder="1" applyAlignment="1">
      <alignment horizontal="center" vertical="center"/>
    </xf>
    <xf numFmtId="0" fontId="29" fillId="48" borderId="48" xfId="0" applyFont="1" applyFill="1" applyBorder="1" applyAlignment="1">
      <alignment horizontal="center" vertical="center"/>
    </xf>
    <xf numFmtId="0" fontId="23" fillId="39" borderId="13" xfId="0" applyFont="1" applyFill="1" applyBorder="1" applyAlignment="1">
      <alignment horizontal="left" vertical="center"/>
    </xf>
    <xf numFmtId="0" fontId="23" fillId="39" borderId="14" xfId="0" applyFont="1" applyFill="1" applyBorder="1" applyAlignment="1">
      <alignment horizontal="left" vertical="center"/>
    </xf>
    <xf numFmtId="0" fontId="23" fillId="39" borderId="2" xfId="0" applyFont="1" applyFill="1" applyBorder="1" applyAlignment="1">
      <alignment horizontal="left" vertical="center"/>
    </xf>
    <xf numFmtId="0" fontId="23" fillId="39" borderId="3" xfId="0" applyFont="1" applyFill="1" applyBorder="1" applyAlignment="1">
      <alignment horizontal="left" vertical="center"/>
    </xf>
    <xf numFmtId="0" fontId="27" fillId="46" borderId="26" xfId="0" applyFont="1" applyFill="1" applyBorder="1" applyAlignment="1">
      <alignment horizontal="center" vertical="center"/>
    </xf>
    <xf numFmtId="0" fontId="27" fillId="46" borderId="0" xfId="0" applyFont="1" applyFill="1" applyAlignment="1">
      <alignment horizontal="center" vertical="center"/>
    </xf>
    <xf numFmtId="0" fontId="27" fillId="46" borderId="31" xfId="0" applyFont="1" applyFill="1" applyBorder="1" applyAlignment="1">
      <alignment horizontal="center" vertical="center"/>
    </xf>
    <xf numFmtId="0" fontId="27" fillId="46" borderId="20" xfId="0" applyFont="1" applyFill="1" applyBorder="1" applyAlignment="1">
      <alignment horizontal="center" vertical="center"/>
    </xf>
    <xf numFmtId="0" fontId="27" fillId="46" borderId="19" xfId="0" applyFont="1" applyFill="1" applyBorder="1" applyAlignment="1">
      <alignment horizontal="center" vertical="center"/>
    </xf>
    <xf numFmtId="0" fontId="27" fillId="46" borderId="21" xfId="0" applyFont="1" applyFill="1" applyBorder="1" applyAlignment="1">
      <alignment horizontal="center" vertical="center"/>
    </xf>
    <xf numFmtId="0" fontId="30" fillId="46" borderId="47" xfId="0" applyFont="1" applyFill="1" applyBorder="1" applyAlignment="1">
      <alignment horizontal="center" vertical="center"/>
    </xf>
    <xf numFmtId="0" fontId="30" fillId="46" borderId="48" xfId="0" applyFont="1" applyFill="1" applyBorder="1" applyAlignment="1">
      <alignment horizontal="center" vertical="center"/>
    </xf>
    <xf numFmtId="0" fontId="24" fillId="17" borderId="1" xfId="0" applyFont="1" applyFill="1" applyBorder="1" applyAlignment="1">
      <alignment horizontal="center"/>
    </xf>
    <xf numFmtId="0" fontId="24" fillId="17" borderId="2" xfId="0" applyFont="1" applyFill="1" applyBorder="1" applyAlignment="1">
      <alignment horizontal="center"/>
    </xf>
    <xf numFmtId="0" fontId="26" fillId="3" borderId="38" xfId="0" applyFont="1" applyFill="1" applyBorder="1" applyAlignment="1">
      <alignment horizontal="right" vertical="center"/>
    </xf>
    <xf numFmtId="0" fontId="26" fillId="3" borderId="65" xfId="0" applyFont="1" applyFill="1" applyBorder="1" applyAlignment="1">
      <alignment horizontal="right" vertical="center"/>
    </xf>
    <xf numFmtId="0" fontId="26" fillId="3" borderId="62" xfId="0" applyFont="1" applyFill="1" applyBorder="1" applyAlignment="1">
      <alignment horizontal="right" vertical="center"/>
    </xf>
    <xf numFmtId="0" fontId="27" fillId="55" borderId="13" xfId="0" applyFont="1" applyFill="1" applyBorder="1" applyAlignment="1">
      <alignment horizontal="center" vertical="center"/>
    </xf>
    <xf numFmtId="0" fontId="27" fillId="55" borderId="14" xfId="0" applyFont="1" applyFill="1" applyBorder="1" applyAlignment="1">
      <alignment horizontal="center" vertical="center"/>
    </xf>
    <xf numFmtId="0" fontId="27" fillId="55" borderId="12" xfId="0" applyFont="1" applyFill="1" applyBorder="1" applyAlignment="1">
      <alignment horizontal="center" vertical="center"/>
    </xf>
    <xf numFmtId="0" fontId="27" fillId="55" borderId="20" xfId="0" applyFont="1" applyFill="1" applyBorder="1" applyAlignment="1">
      <alignment horizontal="center" vertical="center"/>
    </xf>
    <xf numFmtId="0" fontId="27" fillId="55" borderId="19" xfId="0" applyFont="1" applyFill="1" applyBorder="1" applyAlignment="1">
      <alignment horizontal="center" vertical="center"/>
    </xf>
    <xf numFmtId="0" fontId="27" fillId="55" borderId="21" xfId="0" applyFont="1" applyFill="1" applyBorder="1" applyAlignment="1">
      <alignment horizontal="center" vertical="center"/>
    </xf>
    <xf numFmtId="0" fontId="29" fillId="46" borderId="47" xfId="0" applyFont="1" applyFill="1" applyBorder="1" applyAlignment="1">
      <alignment horizontal="center" vertical="center"/>
    </xf>
    <xf numFmtId="0" fontId="29" fillId="46" borderId="48" xfId="0" applyFont="1" applyFill="1" applyBorder="1" applyAlignment="1">
      <alignment horizontal="center" vertical="center"/>
    </xf>
    <xf numFmtId="0" fontId="27" fillId="10" borderId="26" xfId="0" applyFont="1" applyFill="1" applyBorder="1" applyAlignment="1">
      <alignment horizontal="center" vertical="center"/>
    </xf>
    <xf numFmtId="0" fontId="27" fillId="10" borderId="0" xfId="0" applyFont="1" applyFill="1" applyAlignment="1">
      <alignment horizontal="center" vertical="center"/>
    </xf>
    <xf numFmtId="0" fontId="27" fillId="10" borderId="31" xfId="0" applyFont="1" applyFill="1" applyBorder="1" applyAlignment="1">
      <alignment horizontal="center" vertical="center"/>
    </xf>
    <xf numFmtId="0" fontId="27" fillId="10" borderId="20" xfId="0" applyFont="1" applyFill="1" applyBorder="1" applyAlignment="1">
      <alignment horizontal="center" vertical="center"/>
    </xf>
    <xf numFmtId="0" fontId="27" fillId="10" borderId="19" xfId="0" applyFont="1" applyFill="1" applyBorder="1" applyAlignment="1">
      <alignment horizontal="center" vertical="center"/>
    </xf>
    <xf numFmtId="0" fontId="27" fillId="10" borderId="21" xfId="0" applyFont="1" applyFill="1" applyBorder="1" applyAlignment="1">
      <alignment horizontal="center" vertical="center"/>
    </xf>
    <xf numFmtId="0" fontId="24" fillId="25" borderId="1" xfId="0" applyFont="1" applyFill="1" applyBorder="1" applyAlignment="1">
      <alignment horizontal="center"/>
    </xf>
    <xf numFmtId="0" fontId="24" fillId="25" borderId="2" xfId="0" applyFont="1" applyFill="1" applyBorder="1" applyAlignment="1">
      <alignment horizontal="center"/>
    </xf>
    <xf numFmtId="0" fontId="24" fillId="30" borderId="1" xfId="0" applyFont="1" applyFill="1" applyBorder="1" applyAlignment="1">
      <alignment horizontal="center"/>
    </xf>
    <xf numFmtId="0" fontId="24" fillId="30" borderId="2" xfId="0" applyFont="1" applyFill="1" applyBorder="1" applyAlignment="1">
      <alignment horizontal="center"/>
    </xf>
    <xf numFmtId="0" fontId="29" fillId="12" borderId="47" xfId="0" applyFont="1" applyFill="1" applyBorder="1" applyAlignment="1">
      <alignment horizontal="center" vertical="center"/>
    </xf>
    <xf numFmtId="0" fontId="29" fillId="12" borderId="48" xfId="0" applyFont="1" applyFill="1" applyBorder="1" applyAlignment="1">
      <alignment horizontal="center" vertical="center"/>
    </xf>
    <xf numFmtId="0" fontId="30" fillId="16" borderId="47" xfId="0" applyFont="1" applyFill="1" applyBorder="1" applyAlignment="1">
      <alignment horizontal="center" vertical="center"/>
    </xf>
    <xf numFmtId="0" fontId="30" fillId="16" borderId="48" xfId="0" applyFont="1" applyFill="1" applyBorder="1" applyAlignment="1">
      <alignment horizontal="center" vertical="center"/>
    </xf>
    <xf numFmtId="0" fontId="24" fillId="29" borderId="1" xfId="0" applyFont="1" applyFill="1" applyBorder="1" applyAlignment="1">
      <alignment horizontal="center"/>
    </xf>
    <xf numFmtId="0" fontId="24" fillId="29" borderId="2" xfId="0" applyFont="1" applyFill="1" applyBorder="1" applyAlignment="1">
      <alignment horizontal="center"/>
    </xf>
    <xf numFmtId="0" fontId="24" fillId="19" borderId="1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27" fillId="16" borderId="26" xfId="0" applyFont="1" applyFill="1" applyBorder="1" applyAlignment="1">
      <alignment horizontal="center" vertical="center"/>
    </xf>
    <xf numFmtId="0" fontId="27" fillId="16" borderId="0" xfId="0" applyFont="1" applyFill="1" applyAlignment="1">
      <alignment horizontal="center" vertical="center"/>
    </xf>
    <xf numFmtId="0" fontId="27" fillId="16" borderId="31" xfId="0" applyFont="1" applyFill="1" applyBorder="1" applyAlignment="1">
      <alignment horizontal="center" vertical="center"/>
    </xf>
    <xf numFmtId="0" fontId="27" fillId="16" borderId="20" xfId="0" applyFont="1" applyFill="1" applyBorder="1" applyAlignment="1">
      <alignment horizontal="center" vertical="center"/>
    </xf>
    <xf numFmtId="0" fontId="27" fillId="16" borderId="19" xfId="0" applyFont="1" applyFill="1" applyBorder="1" applyAlignment="1">
      <alignment horizontal="center" vertical="center"/>
    </xf>
    <xf numFmtId="0" fontId="27" fillId="16" borderId="21" xfId="0" applyFont="1" applyFill="1" applyBorder="1" applyAlignment="1">
      <alignment horizontal="center" vertical="center"/>
    </xf>
    <xf numFmtId="0" fontId="27" fillId="48" borderId="26" xfId="0" applyFont="1" applyFill="1" applyBorder="1" applyAlignment="1">
      <alignment horizontal="center" vertical="center"/>
    </xf>
    <xf numFmtId="0" fontId="27" fillId="48" borderId="0" xfId="0" applyFont="1" applyFill="1" applyAlignment="1">
      <alignment horizontal="center" vertical="center"/>
    </xf>
    <xf numFmtId="0" fontId="27" fillId="48" borderId="31" xfId="0" applyFont="1" applyFill="1" applyBorder="1" applyAlignment="1">
      <alignment horizontal="center" vertical="center"/>
    </xf>
    <xf numFmtId="0" fontId="27" fillId="48" borderId="20" xfId="0" applyFont="1" applyFill="1" applyBorder="1" applyAlignment="1">
      <alignment horizontal="center" vertical="center"/>
    </xf>
    <xf numFmtId="0" fontId="27" fillId="48" borderId="19" xfId="0" applyFont="1" applyFill="1" applyBorder="1" applyAlignment="1">
      <alignment horizontal="center" vertical="center"/>
    </xf>
    <xf numFmtId="0" fontId="27" fillId="48" borderId="21" xfId="0" applyFont="1" applyFill="1" applyBorder="1" applyAlignment="1">
      <alignment horizontal="center" vertical="center"/>
    </xf>
    <xf numFmtId="0" fontId="27" fillId="13" borderId="26" xfId="0" applyFont="1" applyFill="1" applyBorder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27" fillId="13" borderId="31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4" fillId="27" borderId="1" xfId="0" applyFont="1" applyFill="1" applyBorder="1" applyAlignment="1">
      <alignment horizontal="center"/>
    </xf>
    <xf numFmtId="0" fontId="24" fillId="27" borderId="2" xfId="0" applyFont="1" applyFill="1" applyBorder="1" applyAlignment="1">
      <alignment horizontal="center"/>
    </xf>
    <xf numFmtId="0" fontId="26" fillId="22" borderId="1" xfId="0" applyFont="1" applyFill="1" applyBorder="1" applyAlignment="1">
      <alignment horizontal="center"/>
    </xf>
    <xf numFmtId="0" fontId="26" fillId="22" borderId="2" xfId="0" applyFont="1" applyFill="1" applyBorder="1" applyAlignment="1">
      <alignment horizontal="center"/>
    </xf>
    <xf numFmtId="0" fontId="26" fillId="22" borderId="3" xfId="0" applyFont="1" applyFill="1" applyBorder="1" applyAlignment="1">
      <alignment horizontal="center"/>
    </xf>
    <xf numFmtId="0" fontId="27" fillId="11" borderId="26" xfId="0" applyFont="1" applyFill="1" applyBorder="1" applyAlignment="1">
      <alignment horizontal="center" vertical="center"/>
    </xf>
    <xf numFmtId="0" fontId="27" fillId="11" borderId="0" xfId="0" applyFont="1" applyFill="1" applyAlignment="1">
      <alignment horizontal="center" vertical="center"/>
    </xf>
    <xf numFmtId="0" fontId="27" fillId="11" borderId="31" xfId="0" applyFont="1" applyFill="1" applyBorder="1" applyAlignment="1">
      <alignment horizontal="center" vertical="center"/>
    </xf>
    <xf numFmtId="0" fontId="27" fillId="11" borderId="20" xfId="0" applyFont="1" applyFill="1" applyBorder="1" applyAlignment="1">
      <alignment horizontal="center" vertical="center"/>
    </xf>
    <xf numFmtId="0" fontId="27" fillId="11" borderId="19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29" fillId="11" borderId="47" xfId="0" applyFont="1" applyFill="1" applyBorder="1" applyAlignment="1">
      <alignment horizontal="center" vertical="center"/>
    </xf>
    <xf numFmtId="0" fontId="29" fillId="11" borderId="48" xfId="0" applyFont="1" applyFill="1" applyBorder="1" applyAlignment="1">
      <alignment horizontal="center" vertical="center"/>
    </xf>
    <xf numFmtId="165" fontId="29" fillId="11" borderId="47" xfId="0" applyNumberFormat="1" applyFont="1" applyFill="1" applyBorder="1" applyAlignment="1">
      <alignment horizontal="center" vertical="center"/>
    </xf>
    <xf numFmtId="165" fontId="29" fillId="11" borderId="48" xfId="0" applyNumberFormat="1" applyFont="1" applyFill="1" applyBorder="1" applyAlignment="1">
      <alignment horizontal="center" vertical="center"/>
    </xf>
    <xf numFmtId="0" fontId="30" fillId="11" borderId="47" xfId="0" applyFont="1" applyFill="1" applyBorder="1" applyAlignment="1">
      <alignment horizontal="center" vertical="center"/>
    </xf>
    <xf numFmtId="0" fontId="30" fillId="11" borderId="48" xfId="0" applyFont="1" applyFill="1" applyBorder="1" applyAlignment="1">
      <alignment horizontal="center" vertical="center"/>
    </xf>
    <xf numFmtId="0" fontId="16" fillId="39" borderId="1" xfId="0" applyFont="1" applyFill="1" applyBorder="1" applyAlignment="1">
      <alignment horizontal="left" vertical="center"/>
    </xf>
    <xf numFmtId="0" fontId="16" fillId="39" borderId="2" xfId="0" applyFont="1" applyFill="1" applyBorder="1" applyAlignment="1">
      <alignment horizontal="left" vertical="center"/>
    </xf>
    <xf numFmtId="0" fontId="16" fillId="39" borderId="3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61" fillId="4" borderId="1" xfId="0" applyFont="1" applyFill="1" applyBorder="1" applyAlignment="1">
      <alignment horizontal="left" vertical="center"/>
    </xf>
    <xf numFmtId="0" fontId="61" fillId="4" borderId="2" xfId="0" applyFont="1" applyFill="1" applyBorder="1" applyAlignment="1">
      <alignment horizontal="left" vertical="center"/>
    </xf>
    <xf numFmtId="0" fontId="61" fillId="4" borderId="3" xfId="0" applyFont="1" applyFill="1" applyBorder="1" applyAlignment="1">
      <alignment horizontal="left" vertical="center"/>
    </xf>
    <xf numFmtId="0" fontId="4" fillId="39" borderId="1" xfId="0" applyFont="1" applyFill="1" applyBorder="1" applyAlignment="1">
      <alignment horizontal="left" vertical="center"/>
    </xf>
    <xf numFmtId="0" fontId="4" fillId="39" borderId="2" xfId="0" applyFont="1" applyFill="1" applyBorder="1" applyAlignment="1">
      <alignment horizontal="left" vertical="center"/>
    </xf>
    <xf numFmtId="0" fontId="4" fillId="39" borderId="3" xfId="0" applyFont="1" applyFill="1" applyBorder="1" applyAlignment="1">
      <alignment horizontal="left" vertic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horizontal="center" vertical="center"/>
    </xf>
    <xf numFmtId="0" fontId="57" fillId="40" borderId="14" xfId="0" applyFont="1" applyFill="1" applyBorder="1" applyAlignment="1">
      <alignment horizontal="center" vertical="center" wrapText="1"/>
    </xf>
    <xf numFmtId="0" fontId="57" fillId="40" borderId="12" xfId="0" applyFont="1" applyFill="1" applyBorder="1" applyAlignment="1">
      <alignment horizontal="center" vertical="center" wrapText="1"/>
    </xf>
    <xf numFmtId="0" fontId="57" fillId="40" borderId="19" xfId="0" applyFont="1" applyFill="1" applyBorder="1" applyAlignment="1">
      <alignment horizontal="center" vertical="center" wrapText="1"/>
    </xf>
    <xf numFmtId="0" fontId="57" fillId="40" borderId="21" xfId="0" applyFont="1" applyFill="1" applyBorder="1" applyAlignment="1">
      <alignment horizontal="center" vertical="center" wrapText="1"/>
    </xf>
    <xf numFmtId="0" fontId="57" fillId="42" borderId="14" xfId="0" applyFont="1" applyFill="1" applyBorder="1" applyAlignment="1">
      <alignment horizontal="center" vertical="center" wrapText="1"/>
    </xf>
    <xf numFmtId="0" fontId="57" fillId="42" borderId="12" xfId="0" applyFont="1" applyFill="1" applyBorder="1" applyAlignment="1">
      <alignment horizontal="center" vertical="center" wrapText="1"/>
    </xf>
    <xf numFmtId="0" fontId="57" fillId="42" borderId="19" xfId="0" applyFont="1" applyFill="1" applyBorder="1" applyAlignment="1">
      <alignment horizontal="center" vertical="center" wrapText="1"/>
    </xf>
    <xf numFmtId="0" fontId="57" fillId="42" borderId="21" xfId="0" applyFont="1" applyFill="1" applyBorder="1" applyAlignment="1">
      <alignment horizontal="center" vertical="center" wrapText="1"/>
    </xf>
    <xf numFmtId="0" fontId="5" fillId="44" borderId="14" xfId="0" applyFont="1" applyFill="1" applyBorder="1" applyAlignment="1">
      <alignment horizontal="center" vertical="center"/>
    </xf>
    <xf numFmtId="0" fontId="5" fillId="44" borderId="12" xfId="0" applyFont="1" applyFill="1" applyBorder="1" applyAlignment="1">
      <alignment horizontal="center" vertical="center"/>
    </xf>
    <xf numFmtId="0" fontId="5" fillId="44" borderId="19" xfId="0" applyFont="1" applyFill="1" applyBorder="1" applyAlignment="1">
      <alignment horizontal="center" vertical="center"/>
    </xf>
    <xf numFmtId="0" fontId="5" fillId="44" borderId="21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9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49" fontId="58" fillId="5" borderId="14" xfId="0" applyNumberFormat="1" applyFont="1" applyFill="1" applyBorder="1" applyAlignment="1">
      <alignment horizontal="center" vertical="center" wrapText="1"/>
    </xf>
    <xf numFmtId="49" fontId="58" fillId="5" borderId="12" xfId="0" applyNumberFormat="1" applyFont="1" applyFill="1" applyBorder="1" applyAlignment="1">
      <alignment horizontal="center" vertical="center" wrapText="1"/>
    </xf>
    <xf numFmtId="49" fontId="58" fillId="5" borderId="19" xfId="0" applyNumberFormat="1" applyFont="1" applyFill="1" applyBorder="1" applyAlignment="1">
      <alignment horizontal="center" vertical="center" wrapText="1"/>
    </xf>
    <xf numFmtId="49" fontId="58" fillId="5" borderId="21" xfId="0" applyNumberFormat="1" applyFont="1" applyFill="1" applyBorder="1" applyAlignment="1">
      <alignment horizontal="center" vertical="center" wrapText="1"/>
    </xf>
    <xf numFmtId="0" fontId="58" fillId="5" borderId="14" xfId="0" applyFont="1" applyFill="1" applyBorder="1" applyAlignment="1">
      <alignment horizontal="center" vertical="center" wrapText="1"/>
    </xf>
    <xf numFmtId="0" fontId="58" fillId="5" borderId="12" xfId="0" applyFont="1" applyFill="1" applyBorder="1" applyAlignment="1">
      <alignment horizontal="center" vertical="center" wrapText="1"/>
    </xf>
    <xf numFmtId="0" fontId="58" fillId="5" borderId="19" xfId="0" applyFont="1" applyFill="1" applyBorder="1" applyAlignment="1">
      <alignment horizontal="center" vertical="center" wrapText="1"/>
    </xf>
    <xf numFmtId="0" fontId="58" fillId="5" borderId="21" xfId="0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/>
    </xf>
    <xf numFmtId="0" fontId="11" fillId="9" borderId="21" xfId="0" applyFont="1" applyFill="1" applyBorder="1" applyAlignment="1">
      <alignment horizontal="center" vertical="center"/>
    </xf>
    <xf numFmtId="0" fontId="57" fillId="42" borderId="13" xfId="0" applyFont="1" applyFill="1" applyBorder="1" applyAlignment="1">
      <alignment horizontal="center" vertical="center" wrapText="1"/>
    </xf>
    <xf numFmtId="0" fontId="57" fillId="42" borderId="26" xfId="0" applyFont="1" applyFill="1" applyBorder="1" applyAlignment="1">
      <alignment horizontal="center" vertical="center" wrapText="1"/>
    </xf>
    <xf numFmtId="0" fontId="57" fillId="42" borderId="0" xfId="0" applyFont="1" applyFill="1" applyAlignment="1">
      <alignment horizontal="center" vertical="center" wrapText="1"/>
    </xf>
    <xf numFmtId="0" fontId="57" fillId="42" borderId="31" xfId="0" applyFont="1" applyFill="1" applyBorder="1" applyAlignment="1">
      <alignment horizontal="center" vertical="center" wrapText="1"/>
    </xf>
    <xf numFmtId="0" fontId="57" fillId="41" borderId="14" xfId="0" applyFont="1" applyFill="1" applyBorder="1" applyAlignment="1">
      <alignment horizontal="center" vertical="center" wrapText="1"/>
    </xf>
    <xf numFmtId="0" fontId="57" fillId="41" borderId="12" xfId="0" applyFont="1" applyFill="1" applyBorder="1" applyAlignment="1">
      <alignment horizontal="center" vertical="center" wrapText="1"/>
    </xf>
    <xf numFmtId="0" fontId="57" fillId="41" borderId="19" xfId="0" applyFont="1" applyFill="1" applyBorder="1" applyAlignment="1">
      <alignment horizontal="center" vertical="center" wrapText="1"/>
    </xf>
    <xf numFmtId="0" fontId="57" fillId="41" borderId="21" xfId="0" applyFont="1" applyFill="1" applyBorder="1" applyAlignment="1">
      <alignment horizontal="center" vertical="center" wrapText="1"/>
    </xf>
    <xf numFmtId="0" fontId="57" fillId="43" borderId="14" xfId="0" applyFont="1" applyFill="1" applyBorder="1" applyAlignment="1">
      <alignment horizontal="center" vertical="center" wrapText="1"/>
    </xf>
    <xf numFmtId="0" fontId="57" fillId="43" borderId="12" xfId="0" applyFont="1" applyFill="1" applyBorder="1" applyAlignment="1">
      <alignment horizontal="center" vertical="center" wrapText="1"/>
    </xf>
    <xf numFmtId="0" fontId="57" fillId="43" borderId="19" xfId="0" applyFont="1" applyFill="1" applyBorder="1" applyAlignment="1">
      <alignment horizontal="center" vertical="center" wrapText="1"/>
    </xf>
    <xf numFmtId="0" fontId="57" fillId="43" borderId="21" xfId="0" applyFont="1" applyFill="1" applyBorder="1" applyAlignment="1">
      <alignment horizontal="center" vertical="center" wrapText="1"/>
    </xf>
    <xf numFmtId="0" fontId="47" fillId="15" borderId="2" xfId="0" applyFont="1" applyFill="1" applyBorder="1" applyAlignment="1">
      <alignment horizontal="center" vertical="center"/>
    </xf>
    <xf numFmtId="0" fontId="47" fillId="15" borderId="3" xfId="0" applyFont="1" applyFill="1" applyBorder="1" applyAlignment="1">
      <alignment horizontal="center" vertical="center"/>
    </xf>
    <xf numFmtId="0" fontId="46" fillId="14" borderId="29" xfId="0" applyFont="1" applyFill="1" applyBorder="1" applyAlignment="1">
      <alignment horizontal="center"/>
    </xf>
    <xf numFmtId="0" fontId="46" fillId="14" borderId="63" xfId="0" applyFont="1" applyFill="1" applyBorder="1" applyAlignment="1">
      <alignment horizontal="center"/>
    </xf>
    <xf numFmtId="0" fontId="46" fillId="14" borderId="30" xfId="0" applyFont="1" applyFill="1" applyBorder="1" applyAlignment="1">
      <alignment horizontal="center"/>
    </xf>
    <xf numFmtId="0" fontId="53" fillId="6" borderId="1" xfId="0" applyFont="1" applyFill="1" applyBorder="1" applyAlignment="1">
      <alignment horizontal="center" vertical="center"/>
    </xf>
    <xf numFmtId="0" fontId="53" fillId="6" borderId="2" xfId="0" applyFont="1" applyFill="1" applyBorder="1" applyAlignment="1">
      <alignment horizontal="center" vertical="center"/>
    </xf>
    <xf numFmtId="0" fontId="53" fillId="6" borderId="3" xfId="0" applyFont="1" applyFill="1" applyBorder="1" applyAlignment="1">
      <alignment horizontal="center" vertical="center"/>
    </xf>
    <xf numFmtId="49" fontId="21" fillId="7" borderId="26" xfId="0" applyNumberFormat="1" applyFont="1" applyFill="1" applyBorder="1" applyAlignment="1">
      <alignment horizontal="center" vertical="center" wrapText="1"/>
    </xf>
    <xf numFmtId="49" fontId="21" fillId="7" borderId="0" xfId="0" applyNumberFormat="1" applyFont="1" applyFill="1" applyAlignment="1">
      <alignment horizontal="center" vertical="center" wrapText="1"/>
    </xf>
    <xf numFmtId="49" fontId="21" fillId="7" borderId="31" xfId="0" applyNumberFormat="1" applyFont="1" applyFill="1" applyBorder="1" applyAlignment="1">
      <alignment horizontal="center" vertical="center" wrapText="1"/>
    </xf>
    <xf numFmtId="49" fontId="21" fillId="7" borderId="20" xfId="0" applyNumberFormat="1" applyFont="1" applyFill="1" applyBorder="1" applyAlignment="1">
      <alignment horizontal="center" vertical="center" wrapText="1"/>
    </xf>
    <xf numFmtId="49" fontId="21" fillId="7" borderId="19" xfId="0" applyNumberFormat="1" applyFont="1" applyFill="1" applyBorder="1" applyAlignment="1">
      <alignment horizontal="center" vertical="center" wrapText="1"/>
    </xf>
    <xf numFmtId="49" fontId="21" fillId="7" borderId="21" xfId="0" applyNumberFormat="1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 vertical="center"/>
    </xf>
    <xf numFmtId="0" fontId="15" fillId="39" borderId="2" xfId="0" applyFont="1" applyFill="1" applyBorder="1" applyAlignment="1">
      <alignment horizontal="center" vertical="center"/>
    </xf>
    <xf numFmtId="0" fontId="15" fillId="39" borderId="3" xfId="0" applyFont="1" applyFill="1" applyBorder="1" applyAlignment="1">
      <alignment horizontal="center" vertical="center"/>
    </xf>
    <xf numFmtId="0" fontId="14" fillId="38" borderId="1" xfId="0" applyFont="1" applyFill="1" applyBorder="1" applyAlignment="1">
      <alignment horizontal="center" vertical="center"/>
    </xf>
    <xf numFmtId="0" fontId="14" fillId="38" borderId="2" xfId="0" applyFont="1" applyFill="1" applyBorder="1" applyAlignment="1">
      <alignment horizontal="center" vertical="center"/>
    </xf>
    <xf numFmtId="0" fontId="14" fillId="38" borderId="3" xfId="0" applyFont="1" applyFill="1" applyBorder="1" applyAlignment="1">
      <alignment horizontal="center" vertical="center"/>
    </xf>
    <xf numFmtId="0" fontId="4" fillId="39" borderId="13" xfId="0" applyFont="1" applyFill="1" applyBorder="1" applyAlignment="1">
      <alignment horizontal="left" vertical="center"/>
    </xf>
    <xf numFmtId="0" fontId="4" fillId="39" borderId="14" xfId="0" applyFont="1" applyFill="1" applyBorder="1" applyAlignment="1">
      <alignment horizontal="left" vertical="center"/>
    </xf>
    <xf numFmtId="0" fontId="15" fillId="51" borderId="1" xfId="0" applyFont="1" applyFill="1" applyBorder="1" applyAlignment="1">
      <alignment horizontal="center" vertical="center"/>
    </xf>
    <xf numFmtId="0" fontId="15" fillId="51" borderId="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name val="IBM Plex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IBM Plex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BM Plex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IBM Plex"/>
        <scheme val="none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IBM Plex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colors>
    <mruColors>
      <color rgb="FF88E4E2"/>
      <color rgb="FFD6F6F5"/>
      <color rgb="FFD69656"/>
      <color rgb="FFD1D1D1"/>
      <color rgb="FFDDB851"/>
      <color rgb="FFD1F7E9"/>
      <color rgb="FF86EAC4"/>
      <color rgb="FFC2D7F6"/>
      <color rgb="FF689DEA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 baseline="0">
                <a:solidFill>
                  <a:schemeClr val="bg1"/>
                </a:solidFill>
              </a:rPr>
              <a:t>Week-By-Week Standings</a:t>
            </a:r>
          </a:p>
        </c:rich>
      </c:tx>
      <c:overlay val="0"/>
      <c:spPr>
        <a:solidFill>
          <a:srgbClr val="193B65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266155481089295E-2"/>
          <c:y val="1.4979530592813687E-2"/>
          <c:w val="0.94856910130306826"/>
          <c:h val="0.89536442691245421"/>
        </c:manualLayout>
      </c:layout>
      <c:lineChart>
        <c:grouping val="standard"/>
        <c:varyColors val="0"/>
        <c:ser>
          <c:idx val="4"/>
          <c:order val="0"/>
          <c:tx>
            <c:strRef>
              <c:f>Charts!$A$5</c:f>
              <c:strCache>
                <c:ptCount val="1"/>
                <c:pt idx="0">
                  <c:v>James</c:v>
                </c:pt>
              </c:strCache>
            </c:strRef>
          </c:tx>
          <c:spPr>
            <a:ln w="31750" cap="rnd">
              <a:solidFill>
                <a:srgbClr val="DDB85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Charts!$B$5:$AJ$5</c:f>
              <c:numCache>
                <c:formatCode>General</c:formatCode>
                <c:ptCount val="35"/>
                <c:pt idx="0">
                  <c:v>0</c:v>
                </c:pt>
                <c:pt idx="1">
                  <c:v>40</c:v>
                </c:pt>
                <c:pt idx="2">
                  <c:v>45</c:v>
                </c:pt>
                <c:pt idx="3">
                  <c:v>75</c:v>
                </c:pt>
                <c:pt idx="4">
                  <c:v>130</c:v>
                </c:pt>
                <c:pt idx="5">
                  <c:v>330</c:v>
                </c:pt>
                <c:pt idx="6">
                  <c:v>400</c:v>
                </c:pt>
                <c:pt idx="7">
                  <c:v>460</c:v>
                </c:pt>
                <c:pt idx="8">
                  <c:v>470</c:v>
                </c:pt>
                <c:pt idx="9">
                  <c:v>535</c:v>
                </c:pt>
                <c:pt idx="10">
                  <c:v>620</c:v>
                </c:pt>
                <c:pt idx="11">
                  <c:v>845</c:v>
                </c:pt>
                <c:pt idx="12">
                  <c:v>865</c:v>
                </c:pt>
                <c:pt idx="13">
                  <c:v>935</c:v>
                </c:pt>
                <c:pt idx="14">
                  <c:v>940</c:v>
                </c:pt>
                <c:pt idx="15">
                  <c:v>1525</c:v>
                </c:pt>
                <c:pt idx="16">
                  <c:v>1610</c:v>
                </c:pt>
                <c:pt idx="17">
                  <c:v>1715</c:v>
                </c:pt>
                <c:pt idx="18">
                  <c:v>1785</c:v>
                </c:pt>
                <c:pt idx="19">
                  <c:v>1960</c:v>
                </c:pt>
                <c:pt idx="20">
                  <c:v>2080</c:v>
                </c:pt>
                <c:pt idx="21">
                  <c:v>2105</c:v>
                </c:pt>
                <c:pt idx="22">
                  <c:v>2140</c:v>
                </c:pt>
                <c:pt idx="23">
                  <c:v>2165</c:v>
                </c:pt>
                <c:pt idx="24">
                  <c:v>2320</c:v>
                </c:pt>
                <c:pt idx="25">
                  <c:v>2380</c:v>
                </c:pt>
                <c:pt idx="26">
                  <c:v>2505</c:v>
                </c:pt>
                <c:pt idx="27">
                  <c:v>2560</c:v>
                </c:pt>
                <c:pt idx="28">
                  <c:v>2700</c:v>
                </c:pt>
                <c:pt idx="29">
                  <c:v>3215</c:v>
                </c:pt>
                <c:pt idx="30">
                  <c:v>3330</c:v>
                </c:pt>
                <c:pt idx="31">
                  <c:v>3355</c:v>
                </c:pt>
                <c:pt idx="32">
                  <c:v>3365</c:v>
                </c:pt>
                <c:pt idx="33">
                  <c:v>3435</c:v>
                </c:pt>
                <c:pt idx="34">
                  <c:v>3520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AD-4E9E-AFE7-BF2890EBD787}"/>
            </c:ext>
          </c:extLst>
        </c:ser>
        <c:ser>
          <c:idx val="8"/>
          <c:order val="1"/>
          <c:tx>
            <c:strRef>
              <c:f>Charts!$A$4</c:f>
              <c:strCache>
                <c:ptCount val="1"/>
                <c:pt idx="0">
                  <c:v>Bryce</c:v>
                </c:pt>
              </c:strCache>
            </c:strRef>
          </c:tx>
          <c:spPr>
            <a:ln w="31750" cap="rnd">
              <a:solidFill>
                <a:srgbClr val="D1D1D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Charts!$B$4:$AJ$4</c:f>
              <c:numCache>
                <c:formatCode>General</c:formatCode>
                <c:ptCount val="35"/>
                <c:pt idx="0">
                  <c:v>0</c:v>
                </c:pt>
                <c:pt idx="1">
                  <c:v>170</c:v>
                </c:pt>
                <c:pt idx="2">
                  <c:v>270</c:v>
                </c:pt>
                <c:pt idx="3">
                  <c:v>385</c:v>
                </c:pt>
                <c:pt idx="4">
                  <c:v>490</c:v>
                </c:pt>
                <c:pt idx="5">
                  <c:v>565</c:v>
                </c:pt>
                <c:pt idx="6">
                  <c:v>605</c:v>
                </c:pt>
                <c:pt idx="7">
                  <c:v>775</c:v>
                </c:pt>
                <c:pt idx="8">
                  <c:v>775</c:v>
                </c:pt>
                <c:pt idx="9">
                  <c:v>840</c:v>
                </c:pt>
                <c:pt idx="10">
                  <c:v>955</c:v>
                </c:pt>
                <c:pt idx="11">
                  <c:v>1115</c:v>
                </c:pt>
                <c:pt idx="12">
                  <c:v>1135</c:v>
                </c:pt>
                <c:pt idx="13">
                  <c:v>1160</c:v>
                </c:pt>
                <c:pt idx="14">
                  <c:v>1220</c:v>
                </c:pt>
                <c:pt idx="15">
                  <c:v>1395</c:v>
                </c:pt>
                <c:pt idx="16">
                  <c:v>1490</c:v>
                </c:pt>
                <c:pt idx="17">
                  <c:v>1510</c:v>
                </c:pt>
                <c:pt idx="18">
                  <c:v>1545</c:v>
                </c:pt>
                <c:pt idx="19">
                  <c:v>1740</c:v>
                </c:pt>
                <c:pt idx="20">
                  <c:v>1850</c:v>
                </c:pt>
                <c:pt idx="21">
                  <c:v>1875</c:v>
                </c:pt>
                <c:pt idx="22">
                  <c:v>2050</c:v>
                </c:pt>
                <c:pt idx="23">
                  <c:v>2055</c:v>
                </c:pt>
                <c:pt idx="24">
                  <c:v>2415</c:v>
                </c:pt>
                <c:pt idx="25">
                  <c:v>2495</c:v>
                </c:pt>
                <c:pt idx="26">
                  <c:v>2550</c:v>
                </c:pt>
                <c:pt idx="27">
                  <c:v>2570</c:v>
                </c:pt>
                <c:pt idx="28">
                  <c:v>2620</c:v>
                </c:pt>
                <c:pt idx="29">
                  <c:v>2815</c:v>
                </c:pt>
                <c:pt idx="30">
                  <c:v>2815</c:v>
                </c:pt>
                <c:pt idx="31">
                  <c:v>2880</c:v>
                </c:pt>
                <c:pt idx="32">
                  <c:v>3020</c:v>
                </c:pt>
                <c:pt idx="33">
                  <c:v>3170</c:v>
                </c:pt>
                <c:pt idx="34">
                  <c:v>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17-4FB1-AED5-491773FA5380}"/>
            </c:ext>
          </c:extLst>
        </c:ser>
        <c:ser>
          <c:idx val="6"/>
          <c:order val="2"/>
          <c:tx>
            <c:strRef>
              <c:f>Charts!$A$2</c:f>
              <c:strCache>
                <c:ptCount val="1"/>
                <c:pt idx="0">
                  <c:v>Kevan</c:v>
                </c:pt>
              </c:strCache>
            </c:strRef>
          </c:tx>
          <c:spPr>
            <a:ln w="31750" cap="rnd">
              <a:solidFill>
                <a:srgbClr val="D6965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Charts!$B$2:$AJ$2</c:f>
              <c:numCache>
                <c:formatCode>General</c:formatCode>
                <c:ptCount val="35"/>
                <c:pt idx="0">
                  <c:v>0</c:v>
                </c:pt>
                <c:pt idx="1">
                  <c:v>40</c:v>
                </c:pt>
                <c:pt idx="2">
                  <c:v>135</c:v>
                </c:pt>
                <c:pt idx="3">
                  <c:v>165</c:v>
                </c:pt>
                <c:pt idx="4">
                  <c:v>165</c:v>
                </c:pt>
                <c:pt idx="5">
                  <c:v>205</c:v>
                </c:pt>
                <c:pt idx="6">
                  <c:v>265</c:v>
                </c:pt>
                <c:pt idx="7">
                  <c:v>440</c:v>
                </c:pt>
                <c:pt idx="8">
                  <c:v>445</c:v>
                </c:pt>
                <c:pt idx="9">
                  <c:v>455</c:v>
                </c:pt>
                <c:pt idx="10">
                  <c:v>510</c:v>
                </c:pt>
                <c:pt idx="11">
                  <c:v>605</c:v>
                </c:pt>
                <c:pt idx="12">
                  <c:v>620</c:v>
                </c:pt>
                <c:pt idx="13">
                  <c:v>675</c:v>
                </c:pt>
                <c:pt idx="14">
                  <c:v>730</c:v>
                </c:pt>
                <c:pt idx="15">
                  <c:v>945</c:v>
                </c:pt>
                <c:pt idx="16">
                  <c:v>990</c:v>
                </c:pt>
                <c:pt idx="17">
                  <c:v>1030</c:v>
                </c:pt>
                <c:pt idx="18">
                  <c:v>1110</c:v>
                </c:pt>
                <c:pt idx="19">
                  <c:v>1195</c:v>
                </c:pt>
                <c:pt idx="20">
                  <c:v>1505</c:v>
                </c:pt>
                <c:pt idx="21">
                  <c:v>1575</c:v>
                </c:pt>
                <c:pt idx="22">
                  <c:v>1800</c:v>
                </c:pt>
                <c:pt idx="23">
                  <c:v>1835</c:v>
                </c:pt>
                <c:pt idx="24">
                  <c:v>1995</c:v>
                </c:pt>
                <c:pt idx="25">
                  <c:v>2065</c:v>
                </c:pt>
                <c:pt idx="26">
                  <c:v>2120</c:v>
                </c:pt>
                <c:pt idx="27">
                  <c:v>2140</c:v>
                </c:pt>
                <c:pt idx="28">
                  <c:v>2185</c:v>
                </c:pt>
                <c:pt idx="29">
                  <c:v>2575</c:v>
                </c:pt>
                <c:pt idx="30">
                  <c:v>2640</c:v>
                </c:pt>
                <c:pt idx="31">
                  <c:v>2690</c:v>
                </c:pt>
                <c:pt idx="32">
                  <c:v>2830</c:v>
                </c:pt>
                <c:pt idx="33">
                  <c:v>3090</c:v>
                </c:pt>
                <c:pt idx="34">
                  <c:v>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9AD-4E9E-AFE7-BF2890EBD787}"/>
            </c:ext>
          </c:extLst>
        </c:ser>
        <c:ser>
          <c:idx val="1"/>
          <c:order val="3"/>
          <c:tx>
            <c:strRef>
              <c:f>Charts!$A$10</c:f>
              <c:strCache>
                <c:ptCount val="1"/>
                <c:pt idx="0">
                  <c:v>Mrs. Beast</c:v>
                </c:pt>
              </c:strCache>
            </c:strRef>
          </c:tx>
          <c:spPr>
            <a:ln w="31750" cap="rnd">
              <a:solidFill>
                <a:srgbClr val="FAACE9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Charts!$B$10:$AJ$10</c:f>
              <c:numCache>
                <c:formatCode>General</c:formatCode>
                <c:ptCount val="35"/>
                <c:pt idx="0">
                  <c:v>0</c:v>
                </c:pt>
                <c:pt idx="1">
                  <c:v>40</c:v>
                </c:pt>
                <c:pt idx="2">
                  <c:v>120</c:v>
                </c:pt>
                <c:pt idx="3">
                  <c:v>170</c:v>
                </c:pt>
                <c:pt idx="4">
                  <c:v>245</c:v>
                </c:pt>
                <c:pt idx="5">
                  <c:v>335</c:v>
                </c:pt>
                <c:pt idx="6">
                  <c:v>385</c:v>
                </c:pt>
                <c:pt idx="7">
                  <c:v>505</c:v>
                </c:pt>
                <c:pt idx="8">
                  <c:v>505</c:v>
                </c:pt>
                <c:pt idx="9">
                  <c:v>535</c:v>
                </c:pt>
                <c:pt idx="10">
                  <c:v>690</c:v>
                </c:pt>
                <c:pt idx="11">
                  <c:v>750</c:v>
                </c:pt>
                <c:pt idx="12">
                  <c:v>830</c:v>
                </c:pt>
                <c:pt idx="13">
                  <c:v>890</c:v>
                </c:pt>
                <c:pt idx="14">
                  <c:v>930</c:v>
                </c:pt>
                <c:pt idx="15">
                  <c:v>980</c:v>
                </c:pt>
                <c:pt idx="16">
                  <c:v>1240</c:v>
                </c:pt>
                <c:pt idx="17">
                  <c:v>1315</c:v>
                </c:pt>
                <c:pt idx="18">
                  <c:v>1340</c:v>
                </c:pt>
                <c:pt idx="19">
                  <c:v>1525</c:v>
                </c:pt>
                <c:pt idx="20">
                  <c:v>1635</c:v>
                </c:pt>
                <c:pt idx="21">
                  <c:v>1700</c:v>
                </c:pt>
                <c:pt idx="22">
                  <c:v>1805</c:v>
                </c:pt>
                <c:pt idx="23">
                  <c:v>1840</c:v>
                </c:pt>
                <c:pt idx="24">
                  <c:v>1970</c:v>
                </c:pt>
                <c:pt idx="25">
                  <c:v>2155</c:v>
                </c:pt>
                <c:pt idx="26">
                  <c:v>2160</c:v>
                </c:pt>
                <c:pt idx="27">
                  <c:v>2170</c:v>
                </c:pt>
                <c:pt idx="28">
                  <c:v>2225</c:v>
                </c:pt>
                <c:pt idx="29">
                  <c:v>2335</c:v>
                </c:pt>
                <c:pt idx="30">
                  <c:v>2350</c:v>
                </c:pt>
                <c:pt idx="31">
                  <c:v>2350</c:v>
                </c:pt>
                <c:pt idx="32">
                  <c:v>2495</c:v>
                </c:pt>
                <c:pt idx="33">
                  <c:v>2635</c:v>
                </c:pt>
                <c:pt idx="34">
                  <c:v>3080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AD-4E9E-AFE7-BF2890EBD787}"/>
            </c:ext>
          </c:extLst>
        </c:ser>
        <c:ser>
          <c:idx val="5"/>
          <c:order val="4"/>
          <c:tx>
            <c:strRef>
              <c:f>Charts!$A$3</c:f>
              <c:strCache>
                <c:ptCount val="1"/>
                <c:pt idx="0">
                  <c:v>Jon Mark</c:v>
                </c:pt>
              </c:strCache>
            </c:strRef>
          </c:tx>
          <c:spPr>
            <a:ln w="31750" cap="rnd">
              <a:solidFill>
                <a:srgbClr val="88E4E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Charts!$B$3:$AJ$3</c:f>
              <c:numCache>
                <c:formatCode>General</c:formatCode>
                <c:ptCount val="35"/>
                <c:pt idx="0">
                  <c:v>0</c:v>
                </c:pt>
                <c:pt idx="1">
                  <c:v>50</c:v>
                </c:pt>
                <c:pt idx="2">
                  <c:v>60</c:v>
                </c:pt>
                <c:pt idx="3">
                  <c:v>110</c:v>
                </c:pt>
                <c:pt idx="4">
                  <c:v>110</c:v>
                </c:pt>
                <c:pt idx="5">
                  <c:v>140</c:v>
                </c:pt>
                <c:pt idx="6">
                  <c:v>180</c:v>
                </c:pt>
                <c:pt idx="7">
                  <c:v>250</c:v>
                </c:pt>
                <c:pt idx="8">
                  <c:v>285</c:v>
                </c:pt>
                <c:pt idx="9">
                  <c:v>330</c:v>
                </c:pt>
                <c:pt idx="10">
                  <c:v>355</c:v>
                </c:pt>
                <c:pt idx="11">
                  <c:v>405</c:v>
                </c:pt>
                <c:pt idx="12">
                  <c:v>435</c:v>
                </c:pt>
                <c:pt idx="13">
                  <c:v>475</c:v>
                </c:pt>
                <c:pt idx="14">
                  <c:v>490</c:v>
                </c:pt>
                <c:pt idx="15">
                  <c:v>675</c:v>
                </c:pt>
                <c:pt idx="16">
                  <c:v>745</c:v>
                </c:pt>
                <c:pt idx="17">
                  <c:v>900</c:v>
                </c:pt>
                <c:pt idx="18">
                  <c:v>950</c:v>
                </c:pt>
                <c:pt idx="19">
                  <c:v>1030</c:v>
                </c:pt>
                <c:pt idx="20">
                  <c:v>1205</c:v>
                </c:pt>
                <c:pt idx="21">
                  <c:v>1290</c:v>
                </c:pt>
                <c:pt idx="22">
                  <c:v>1445</c:v>
                </c:pt>
                <c:pt idx="23">
                  <c:v>1555</c:v>
                </c:pt>
                <c:pt idx="24">
                  <c:v>1905</c:v>
                </c:pt>
                <c:pt idx="25">
                  <c:v>1945</c:v>
                </c:pt>
                <c:pt idx="26">
                  <c:v>1975</c:v>
                </c:pt>
                <c:pt idx="27">
                  <c:v>2005</c:v>
                </c:pt>
                <c:pt idx="28">
                  <c:v>2045</c:v>
                </c:pt>
                <c:pt idx="29">
                  <c:v>2160</c:v>
                </c:pt>
                <c:pt idx="30">
                  <c:v>2160</c:v>
                </c:pt>
                <c:pt idx="31">
                  <c:v>2195</c:v>
                </c:pt>
                <c:pt idx="32">
                  <c:v>2290</c:v>
                </c:pt>
                <c:pt idx="33">
                  <c:v>2405</c:v>
                </c:pt>
                <c:pt idx="34">
                  <c:v>2485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AD-4E9E-AFE7-BF2890EBD787}"/>
            </c:ext>
          </c:extLst>
        </c:ser>
        <c:ser>
          <c:idx val="7"/>
          <c:order val="5"/>
          <c:tx>
            <c:strRef>
              <c:f>Charts!$A$7</c:f>
              <c:strCache>
                <c:ptCount val="1"/>
                <c:pt idx="0">
                  <c:v>Lawrence</c:v>
                </c:pt>
              </c:strCache>
            </c:strRef>
          </c:tx>
          <c:spPr>
            <a:ln w="31750" cap="rnd">
              <a:solidFill>
                <a:srgbClr val="FFFFA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Charts!$B$7:$AJ$7</c:f>
              <c:numCache>
                <c:formatCode>General</c:formatCode>
                <c:ptCount val="35"/>
                <c:pt idx="0">
                  <c:v>0</c:v>
                </c:pt>
                <c:pt idx="1">
                  <c:v>200</c:v>
                </c:pt>
                <c:pt idx="2">
                  <c:v>230</c:v>
                </c:pt>
                <c:pt idx="3">
                  <c:v>280</c:v>
                </c:pt>
                <c:pt idx="4">
                  <c:v>310</c:v>
                </c:pt>
                <c:pt idx="5">
                  <c:v>400</c:v>
                </c:pt>
                <c:pt idx="6">
                  <c:v>425</c:v>
                </c:pt>
                <c:pt idx="7">
                  <c:v>485</c:v>
                </c:pt>
                <c:pt idx="8">
                  <c:v>495</c:v>
                </c:pt>
                <c:pt idx="9">
                  <c:v>560</c:v>
                </c:pt>
                <c:pt idx="10">
                  <c:v>670</c:v>
                </c:pt>
                <c:pt idx="11">
                  <c:v>700</c:v>
                </c:pt>
                <c:pt idx="12">
                  <c:v>710</c:v>
                </c:pt>
                <c:pt idx="13">
                  <c:v>800</c:v>
                </c:pt>
                <c:pt idx="14">
                  <c:v>815</c:v>
                </c:pt>
                <c:pt idx="15">
                  <c:v>1070</c:v>
                </c:pt>
                <c:pt idx="16">
                  <c:v>1090</c:v>
                </c:pt>
                <c:pt idx="17">
                  <c:v>1090</c:v>
                </c:pt>
                <c:pt idx="18">
                  <c:v>1120</c:v>
                </c:pt>
                <c:pt idx="19">
                  <c:v>1175</c:v>
                </c:pt>
                <c:pt idx="20">
                  <c:v>1315</c:v>
                </c:pt>
                <c:pt idx="21">
                  <c:v>1330</c:v>
                </c:pt>
                <c:pt idx="22">
                  <c:v>1440</c:v>
                </c:pt>
                <c:pt idx="23">
                  <c:v>1475</c:v>
                </c:pt>
                <c:pt idx="24">
                  <c:v>1585</c:v>
                </c:pt>
                <c:pt idx="25">
                  <c:v>1770</c:v>
                </c:pt>
                <c:pt idx="26">
                  <c:v>1825</c:v>
                </c:pt>
                <c:pt idx="27">
                  <c:v>1840</c:v>
                </c:pt>
                <c:pt idx="28">
                  <c:v>1880</c:v>
                </c:pt>
                <c:pt idx="29">
                  <c:v>1975</c:v>
                </c:pt>
                <c:pt idx="30">
                  <c:v>1990</c:v>
                </c:pt>
                <c:pt idx="31">
                  <c:v>2015</c:v>
                </c:pt>
                <c:pt idx="32">
                  <c:v>2230</c:v>
                </c:pt>
                <c:pt idx="33">
                  <c:v>2320</c:v>
                </c:pt>
                <c:pt idx="34">
                  <c:v>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9AD-4E9E-AFE7-BF2890EBD787}"/>
            </c:ext>
          </c:extLst>
        </c:ser>
        <c:ser>
          <c:idx val="3"/>
          <c:order val="6"/>
          <c:tx>
            <c:strRef>
              <c:f>Charts!$A$11</c:f>
              <c:strCache>
                <c:ptCount val="1"/>
                <c:pt idx="0">
                  <c:v>Beast</c:v>
                </c:pt>
              </c:strCache>
            </c:strRef>
          </c:tx>
          <c:spPr>
            <a:ln w="31750" cap="rnd">
              <a:solidFill>
                <a:srgbClr val="CFAAF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Charts!$B$11:$AJ$11</c:f>
              <c:numCache>
                <c:formatCode>General</c:formatCode>
                <c:ptCount val="35"/>
                <c:pt idx="0">
                  <c:v>0</c:v>
                </c:pt>
                <c:pt idx="1">
                  <c:v>85</c:v>
                </c:pt>
                <c:pt idx="2">
                  <c:v>125</c:v>
                </c:pt>
                <c:pt idx="3">
                  <c:v>150</c:v>
                </c:pt>
                <c:pt idx="4">
                  <c:v>210</c:v>
                </c:pt>
                <c:pt idx="5">
                  <c:v>235</c:v>
                </c:pt>
                <c:pt idx="6">
                  <c:v>275</c:v>
                </c:pt>
                <c:pt idx="7">
                  <c:v>405</c:v>
                </c:pt>
                <c:pt idx="8">
                  <c:v>505</c:v>
                </c:pt>
                <c:pt idx="9">
                  <c:v>550</c:v>
                </c:pt>
                <c:pt idx="10">
                  <c:v>590</c:v>
                </c:pt>
                <c:pt idx="11">
                  <c:v>705</c:v>
                </c:pt>
                <c:pt idx="12">
                  <c:v>715</c:v>
                </c:pt>
                <c:pt idx="13">
                  <c:v>740</c:v>
                </c:pt>
                <c:pt idx="14">
                  <c:v>760</c:v>
                </c:pt>
                <c:pt idx="15">
                  <c:v>1030</c:v>
                </c:pt>
                <c:pt idx="16">
                  <c:v>1075</c:v>
                </c:pt>
                <c:pt idx="17">
                  <c:v>1090</c:v>
                </c:pt>
                <c:pt idx="18">
                  <c:v>1140</c:v>
                </c:pt>
                <c:pt idx="19">
                  <c:v>1230</c:v>
                </c:pt>
                <c:pt idx="20">
                  <c:v>1550</c:v>
                </c:pt>
                <c:pt idx="21">
                  <c:v>1575</c:v>
                </c:pt>
                <c:pt idx="22">
                  <c:v>1655</c:v>
                </c:pt>
                <c:pt idx="23">
                  <c:v>1655</c:v>
                </c:pt>
                <c:pt idx="24">
                  <c:v>1690</c:v>
                </c:pt>
                <c:pt idx="25">
                  <c:v>1705</c:v>
                </c:pt>
                <c:pt idx="26">
                  <c:v>1710</c:v>
                </c:pt>
                <c:pt idx="27">
                  <c:v>1715</c:v>
                </c:pt>
                <c:pt idx="28">
                  <c:v>1720</c:v>
                </c:pt>
                <c:pt idx="29">
                  <c:v>1840</c:v>
                </c:pt>
                <c:pt idx="30">
                  <c:v>1890</c:v>
                </c:pt>
                <c:pt idx="31">
                  <c:v>1985</c:v>
                </c:pt>
                <c:pt idx="32">
                  <c:v>2115</c:v>
                </c:pt>
                <c:pt idx="33">
                  <c:v>2145</c:v>
                </c:pt>
                <c:pt idx="34">
                  <c:v>2185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AD-4E9E-AFE7-BF2890EBD787}"/>
            </c:ext>
          </c:extLst>
        </c:ser>
        <c:ser>
          <c:idx val="0"/>
          <c:order val="7"/>
          <c:tx>
            <c:strRef>
              <c:f>Charts!$A$8</c:f>
              <c:strCache>
                <c:ptCount val="1"/>
                <c:pt idx="0">
                  <c:v>Brent</c:v>
                </c:pt>
              </c:strCache>
            </c:strRef>
          </c:tx>
          <c:spPr>
            <a:ln w="31750" cap="rnd">
              <a:solidFill>
                <a:srgbClr val="FFC46D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Charts!$B$8:$AJ$8</c:f>
              <c:numCache>
                <c:formatCode>General</c:formatCode>
                <c:ptCount val="35"/>
                <c:pt idx="0">
                  <c:v>0</c:v>
                </c:pt>
                <c:pt idx="1">
                  <c:v>80</c:v>
                </c:pt>
                <c:pt idx="2">
                  <c:v>95</c:v>
                </c:pt>
                <c:pt idx="3">
                  <c:v>130</c:v>
                </c:pt>
                <c:pt idx="4">
                  <c:v>135</c:v>
                </c:pt>
                <c:pt idx="5">
                  <c:v>195</c:v>
                </c:pt>
                <c:pt idx="6">
                  <c:v>260</c:v>
                </c:pt>
                <c:pt idx="7">
                  <c:v>270</c:v>
                </c:pt>
                <c:pt idx="8">
                  <c:v>280</c:v>
                </c:pt>
                <c:pt idx="9">
                  <c:v>305</c:v>
                </c:pt>
                <c:pt idx="10">
                  <c:v>310</c:v>
                </c:pt>
                <c:pt idx="11">
                  <c:v>320</c:v>
                </c:pt>
                <c:pt idx="12">
                  <c:v>405</c:v>
                </c:pt>
                <c:pt idx="13">
                  <c:v>410</c:v>
                </c:pt>
                <c:pt idx="14">
                  <c:v>430</c:v>
                </c:pt>
                <c:pt idx="15">
                  <c:v>625</c:v>
                </c:pt>
                <c:pt idx="16">
                  <c:v>670</c:v>
                </c:pt>
                <c:pt idx="17">
                  <c:v>690</c:v>
                </c:pt>
                <c:pt idx="18">
                  <c:v>720</c:v>
                </c:pt>
                <c:pt idx="19">
                  <c:v>780</c:v>
                </c:pt>
                <c:pt idx="20">
                  <c:v>910</c:v>
                </c:pt>
                <c:pt idx="21">
                  <c:v>910</c:v>
                </c:pt>
                <c:pt idx="22">
                  <c:v>950</c:v>
                </c:pt>
                <c:pt idx="23">
                  <c:v>1085</c:v>
                </c:pt>
                <c:pt idx="24">
                  <c:v>1465</c:v>
                </c:pt>
                <c:pt idx="25">
                  <c:v>1470</c:v>
                </c:pt>
                <c:pt idx="26">
                  <c:v>1505</c:v>
                </c:pt>
                <c:pt idx="27">
                  <c:v>1560</c:v>
                </c:pt>
                <c:pt idx="28">
                  <c:v>1600</c:v>
                </c:pt>
                <c:pt idx="29">
                  <c:v>1600</c:v>
                </c:pt>
                <c:pt idx="30">
                  <c:v>1625</c:v>
                </c:pt>
                <c:pt idx="31">
                  <c:v>1730</c:v>
                </c:pt>
                <c:pt idx="32">
                  <c:v>1800</c:v>
                </c:pt>
                <c:pt idx="33">
                  <c:v>1910</c:v>
                </c:pt>
                <c:pt idx="34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AD-4E9E-AFE7-BF2890EBD787}"/>
            </c:ext>
          </c:extLst>
        </c:ser>
        <c:ser>
          <c:idx val="2"/>
          <c:order val="8"/>
          <c:tx>
            <c:strRef>
              <c:f>Charts!$A$6</c:f>
              <c:strCache>
                <c:ptCount val="1"/>
                <c:pt idx="0">
                  <c:v>Seumas</c:v>
                </c:pt>
              </c:strCache>
            </c:strRef>
          </c:tx>
          <c:spPr>
            <a:ln w="31750" cap="rnd">
              <a:solidFill>
                <a:srgbClr val="B7D5F7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Charts!$B$6:$AJ$6</c:f>
              <c:numCache>
                <c:formatCode>General</c:formatCode>
                <c:ptCount val="35"/>
                <c:pt idx="0">
                  <c:v>0</c:v>
                </c:pt>
                <c:pt idx="1">
                  <c:v>150</c:v>
                </c:pt>
                <c:pt idx="2">
                  <c:v>210</c:v>
                </c:pt>
                <c:pt idx="3">
                  <c:v>225</c:v>
                </c:pt>
                <c:pt idx="4">
                  <c:v>260</c:v>
                </c:pt>
                <c:pt idx="5">
                  <c:v>295</c:v>
                </c:pt>
                <c:pt idx="6">
                  <c:v>380</c:v>
                </c:pt>
                <c:pt idx="7">
                  <c:v>585</c:v>
                </c:pt>
                <c:pt idx="8">
                  <c:v>610</c:v>
                </c:pt>
                <c:pt idx="9">
                  <c:v>625</c:v>
                </c:pt>
                <c:pt idx="10">
                  <c:v>695</c:v>
                </c:pt>
                <c:pt idx="11">
                  <c:v>745</c:v>
                </c:pt>
                <c:pt idx="12">
                  <c:v>790</c:v>
                </c:pt>
                <c:pt idx="13">
                  <c:v>830</c:v>
                </c:pt>
                <c:pt idx="14">
                  <c:v>890</c:v>
                </c:pt>
                <c:pt idx="15">
                  <c:v>1010</c:v>
                </c:pt>
                <c:pt idx="16">
                  <c:v>1020</c:v>
                </c:pt>
                <c:pt idx="17">
                  <c:v>1025</c:v>
                </c:pt>
                <c:pt idx="18">
                  <c:v>1030</c:v>
                </c:pt>
                <c:pt idx="19">
                  <c:v>1070</c:v>
                </c:pt>
                <c:pt idx="20">
                  <c:v>1110</c:v>
                </c:pt>
                <c:pt idx="21">
                  <c:v>1155</c:v>
                </c:pt>
                <c:pt idx="22">
                  <c:v>1205</c:v>
                </c:pt>
                <c:pt idx="23">
                  <c:v>1240</c:v>
                </c:pt>
                <c:pt idx="24">
                  <c:v>1275</c:v>
                </c:pt>
                <c:pt idx="25">
                  <c:v>1315</c:v>
                </c:pt>
                <c:pt idx="26">
                  <c:v>1405</c:v>
                </c:pt>
                <c:pt idx="27">
                  <c:v>1430</c:v>
                </c:pt>
                <c:pt idx="28">
                  <c:v>1485</c:v>
                </c:pt>
                <c:pt idx="29">
                  <c:v>1575</c:v>
                </c:pt>
                <c:pt idx="30">
                  <c:v>1585</c:v>
                </c:pt>
                <c:pt idx="31">
                  <c:v>1620</c:v>
                </c:pt>
                <c:pt idx="32">
                  <c:v>1695</c:v>
                </c:pt>
                <c:pt idx="33">
                  <c:v>1835</c:v>
                </c:pt>
                <c:pt idx="34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AD-4E9E-AFE7-BF2890EBD787}"/>
            </c:ext>
          </c:extLst>
        </c:ser>
        <c:ser>
          <c:idx val="9"/>
          <c:order val="9"/>
          <c:tx>
            <c:strRef>
              <c:f>Charts!$A$9</c:f>
              <c:strCache>
                <c:ptCount val="1"/>
                <c:pt idx="0">
                  <c:v>Daniel</c:v>
                </c:pt>
              </c:strCache>
            </c:strRef>
          </c:tx>
          <c:spPr>
            <a:ln w="31750" cap="rnd">
              <a:solidFill>
                <a:srgbClr val="89FF9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Charts!$B$1:$AJ$1</c:f>
              <c:numCache>
                <c:formatCode>General</c:formatCode>
                <c:ptCount val="35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cat>
          <c:val>
            <c:numRef>
              <c:f>Charts!$B$9:$AJ$9</c:f>
              <c:numCache>
                <c:formatCode>General</c:formatCode>
                <c:ptCount val="35"/>
                <c:pt idx="0">
                  <c:v>0</c:v>
                </c:pt>
                <c:pt idx="1">
                  <c:v>50</c:v>
                </c:pt>
                <c:pt idx="2">
                  <c:v>70</c:v>
                </c:pt>
                <c:pt idx="3">
                  <c:v>140</c:v>
                </c:pt>
                <c:pt idx="4">
                  <c:v>140</c:v>
                </c:pt>
                <c:pt idx="5">
                  <c:v>200</c:v>
                </c:pt>
                <c:pt idx="6">
                  <c:v>225</c:v>
                </c:pt>
                <c:pt idx="7">
                  <c:v>305</c:v>
                </c:pt>
                <c:pt idx="8">
                  <c:v>345</c:v>
                </c:pt>
                <c:pt idx="9">
                  <c:v>390</c:v>
                </c:pt>
                <c:pt idx="10">
                  <c:v>415</c:v>
                </c:pt>
                <c:pt idx="11">
                  <c:v>465</c:v>
                </c:pt>
                <c:pt idx="12">
                  <c:v>535</c:v>
                </c:pt>
                <c:pt idx="13">
                  <c:v>540</c:v>
                </c:pt>
                <c:pt idx="14">
                  <c:v>650</c:v>
                </c:pt>
                <c:pt idx="15">
                  <c:v>695</c:v>
                </c:pt>
                <c:pt idx="16">
                  <c:v>800</c:v>
                </c:pt>
                <c:pt idx="17">
                  <c:v>885</c:v>
                </c:pt>
                <c:pt idx="18">
                  <c:v>930</c:v>
                </c:pt>
                <c:pt idx="19">
                  <c:v>1015</c:v>
                </c:pt>
                <c:pt idx="20">
                  <c:v>1125</c:v>
                </c:pt>
                <c:pt idx="21">
                  <c:v>1165</c:v>
                </c:pt>
                <c:pt idx="22">
                  <c:v>1195</c:v>
                </c:pt>
                <c:pt idx="23">
                  <c:v>1200</c:v>
                </c:pt>
                <c:pt idx="24">
                  <c:v>1215</c:v>
                </c:pt>
                <c:pt idx="25">
                  <c:v>1280</c:v>
                </c:pt>
                <c:pt idx="26">
                  <c:v>1295</c:v>
                </c:pt>
                <c:pt idx="27">
                  <c:v>1345</c:v>
                </c:pt>
                <c:pt idx="28">
                  <c:v>1400</c:v>
                </c:pt>
                <c:pt idx="29">
                  <c:v>1500</c:v>
                </c:pt>
                <c:pt idx="30">
                  <c:v>1545</c:v>
                </c:pt>
                <c:pt idx="31">
                  <c:v>1565</c:v>
                </c:pt>
                <c:pt idx="32">
                  <c:v>1635</c:v>
                </c:pt>
                <c:pt idx="33">
                  <c:v>1670</c:v>
                </c:pt>
                <c:pt idx="34">
                  <c:v>1820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17-4FB1-AED5-491773FA5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8547928"/>
        <c:axId val="868546288"/>
      </c:lineChart>
      <c:catAx>
        <c:axId val="86854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rgbClr val="193B65"/>
          </a:solidFill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546288"/>
        <c:crosses val="autoZero"/>
        <c:auto val="1"/>
        <c:lblAlgn val="ctr"/>
        <c:lblOffset val="100"/>
        <c:noMultiLvlLbl val="0"/>
      </c:catAx>
      <c:valAx>
        <c:axId val="86854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rgbClr val="193B65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547928"/>
        <c:crosses val="autoZero"/>
        <c:crossBetween val="between"/>
      </c:valAx>
      <c:spPr>
        <a:solidFill>
          <a:srgbClr val="193B65"/>
        </a:solid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DDB85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D1D1D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D69656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FAACE9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88E4E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FFFFA3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CFAAF4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FFC46D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B7D5F7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baseline="0">
                <a:ln>
                  <a:noFill/>
                </a:ln>
                <a:solidFill>
                  <a:srgbClr val="89FF94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solidFill>
          <a:srgbClr val="193B65"/>
        </a:solidFill>
        <a:ln>
          <a:solidFill>
            <a:srgbClr val="B7D5F7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baseline="0">
              <a:ln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193B65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Draft!$J$2:$J$52</c:f>
              <c:strCache>
                <c:ptCount val="51"/>
                <c:pt idx="0">
                  <c:v>DRAFT RESULTS</c:v>
                </c:pt>
                <c:pt idx="1">
                  <c:v>LIV Keepers</c:v>
                </c:pt>
                <c:pt idx="2">
                  <c:v>Player Selected:</c:v>
                </c:pt>
                <c:pt idx="3">
                  <c:v>Phil Mickelson</c:v>
                </c:pt>
                <c:pt idx="4">
                  <c:v>Marc Leishman</c:v>
                </c:pt>
                <c:pt idx="5">
                  <c:v>Jon Rahm</c:v>
                </c:pt>
                <c:pt idx="6">
                  <c:v>Tyrrell Hatton</c:v>
                </c:pt>
                <c:pt idx="7">
                  <c:v>Cameron Smith</c:v>
                </c:pt>
                <c:pt idx="8">
                  <c:v>Abraham Ancer</c:v>
                </c:pt>
                <c:pt idx="9">
                  <c:v>Joaquin Niemann</c:v>
                </c:pt>
                <c:pt idx="10">
                  <c:v>Bubba Watson</c:v>
                </c:pt>
                <c:pt idx="11">
                  <c:v>Brooks Koepka</c:v>
                </c:pt>
                <c:pt idx="12">
                  <c:v>Bryson DeChambeau</c:v>
                </c:pt>
                <c:pt idx="13">
                  <c:v>Round 3</c:v>
                </c:pt>
                <c:pt idx="14">
                  <c:v>Player Selected:</c:v>
                </c:pt>
                <c:pt idx="15">
                  <c:v>Denny McCarthy</c:v>
                </c:pt>
                <c:pt idx="16">
                  <c:v>Si Woo Kim</c:v>
                </c:pt>
                <c:pt idx="17">
                  <c:v>Sepp Straka</c:v>
                </c:pt>
                <c:pt idx="18">
                  <c:v>Max Greyserman</c:v>
                </c:pt>
                <c:pt idx="19">
                  <c:v>Nick Dunlap</c:v>
                </c:pt>
                <c:pt idx="20">
                  <c:v>Justin Rose</c:v>
                </c:pt>
                <c:pt idx="21">
                  <c:v>Adam Hadwin</c:v>
                </c:pt>
                <c:pt idx="22">
                  <c:v>Austin Eckroat</c:v>
                </c:pt>
                <c:pt idx="23">
                  <c:v>Taylor Pendrith</c:v>
                </c:pt>
                <c:pt idx="24">
                  <c:v>Stephan Jaeger</c:v>
                </c:pt>
                <c:pt idx="25">
                  <c:v>Round 6</c:v>
                </c:pt>
                <c:pt idx="26">
                  <c:v>Player Selected:</c:v>
                </c:pt>
                <c:pt idx="27">
                  <c:v>Patrick Rodgers</c:v>
                </c:pt>
                <c:pt idx="28">
                  <c:v>Peter Malnati</c:v>
                </c:pt>
                <c:pt idx="29">
                  <c:v>Nicolai Hojgaard</c:v>
                </c:pt>
                <c:pt idx="30">
                  <c:v>Andrew Putnam</c:v>
                </c:pt>
                <c:pt idx="31">
                  <c:v>Rickie Fowler</c:v>
                </c:pt>
                <c:pt idx="32">
                  <c:v>Patrick Fishburn</c:v>
                </c:pt>
                <c:pt idx="33">
                  <c:v>Michael Thorbjornsen</c:v>
                </c:pt>
                <c:pt idx="34">
                  <c:v>Mark Hubbard</c:v>
                </c:pt>
                <c:pt idx="35">
                  <c:v>Doug Ghim</c:v>
                </c:pt>
                <c:pt idx="36">
                  <c:v>Keith Mitchell</c:v>
                </c:pt>
                <c:pt idx="37">
                  <c:v>LIV</c:v>
                </c:pt>
                <c:pt idx="38">
                  <c:v>Player Selected:</c:v>
                </c:pt>
                <c:pt idx="39">
                  <c:v>Dustin Johnson</c:v>
                </c:pt>
                <c:pt idx="40">
                  <c:v>Sergio Garcia</c:v>
                </c:pt>
                <c:pt idx="41">
                  <c:v>Louis Oosthuizen</c:v>
                </c:pt>
                <c:pt idx="42">
                  <c:v>Patrick Reed</c:v>
                </c:pt>
                <c:pt idx="43">
                  <c:v>Paul Casey</c:v>
                </c:pt>
                <c:pt idx="44">
                  <c:v>Talor Gooch</c:v>
                </c:pt>
                <c:pt idx="45">
                  <c:v>Matt Wolff</c:v>
                </c:pt>
                <c:pt idx="46">
                  <c:v>Dean Burmester</c:v>
                </c:pt>
                <c:pt idx="47">
                  <c:v>Carlos Ortiz</c:v>
                </c:pt>
                <c:pt idx="48">
                  <c:v>Charl Schwartzel</c:v>
                </c:pt>
                <c:pt idx="49">
                  <c:v>LPGA</c:v>
                </c:pt>
                <c:pt idx="50">
                  <c:v>Player Selected: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Draft!$B$53:$I$62</c:f>
              <c:multiLvlStrCache>
                <c:ptCount val="10"/>
                <c:lvl>
                  <c:pt idx="0">
                    <c:v>Beast</c:v>
                  </c:pt>
                  <c:pt idx="1">
                    <c:v>Mrs. Beast</c:v>
                  </c:pt>
                  <c:pt idx="2">
                    <c:v>Daniel</c:v>
                  </c:pt>
                  <c:pt idx="3">
                    <c:v>Brent</c:v>
                  </c:pt>
                  <c:pt idx="4">
                    <c:v>Lawrence</c:v>
                  </c:pt>
                  <c:pt idx="5">
                    <c:v>Seumas</c:v>
                  </c:pt>
                  <c:pt idx="6">
                    <c:v>James</c:v>
                  </c:pt>
                  <c:pt idx="7">
                    <c:v>Bryce</c:v>
                  </c:pt>
                  <c:pt idx="8">
                    <c:v>Jon Mark</c:v>
                  </c:pt>
                  <c:pt idx="9">
                    <c:v>Kevan</c:v>
                  </c:pt>
                </c:lvl>
                <c:lvl>
                  <c:pt idx="0">
                    <c:v>21</c:v>
                  </c:pt>
                  <c:pt idx="1">
                    <c:v>22</c:v>
                  </c:pt>
                  <c:pt idx="2">
                    <c:v>23</c:v>
                  </c:pt>
                  <c:pt idx="3">
                    <c:v>24</c:v>
                  </c:pt>
                  <c:pt idx="4">
                    <c:v>25</c:v>
                  </c:pt>
                  <c:pt idx="5">
                    <c:v>26</c:v>
                  </c:pt>
                  <c:pt idx="6">
                    <c:v>27</c:v>
                  </c:pt>
                  <c:pt idx="7">
                    <c:v>28</c:v>
                  </c:pt>
                  <c:pt idx="8">
                    <c:v>29</c:v>
                  </c:pt>
                  <c:pt idx="9">
                    <c:v>30</c:v>
                  </c:pt>
                </c:lvl>
                <c:lvl>
                  <c:pt idx="0">
                    <c:v>Charley Hull</c:v>
                  </c:pt>
                  <c:pt idx="1">
                    <c:v>Ayaka Furue</c:v>
                  </c:pt>
                  <c:pt idx="2">
                    <c:v>Jin Young Ko</c:v>
                  </c:pt>
                  <c:pt idx="3">
                    <c:v>Amy Yang</c:v>
                  </c:pt>
                  <c:pt idx="4">
                    <c:v>Miyu Yamashita</c:v>
                  </c:pt>
                  <c:pt idx="5">
                    <c:v>Minjee Lee</c:v>
                  </c:pt>
                  <c:pt idx="6">
                    <c:v>Rio Takeda</c:v>
                  </c:pt>
                  <c:pt idx="7">
                    <c:v>Ally Ewing</c:v>
                  </c:pt>
                  <c:pt idx="8">
                    <c:v>Brooke Henderson</c:v>
                  </c:pt>
                  <c:pt idx="9">
                    <c:v>Megan Khang</c:v>
                  </c:pt>
                </c:lvl>
                <c:lvl>
                  <c:pt idx="0">
                    <c:v>Kevan</c:v>
                  </c:pt>
                  <c:pt idx="1">
                    <c:v>Jon Mark</c:v>
                  </c:pt>
                  <c:pt idx="2">
                    <c:v>Bryce</c:v>
                  </c:pt>
                  <c:pt idx="3">
                    <c:v>James</c:v>
                  </c:pt>
                  <c:pt idx="4">
                    <c:v>Seumas</c:v>
                  </c:pt>
                  <c:pt idx="5">
                    <c:v>Lawrence</c:v>
                  </c:pt>
                  <c:pt idx="6">
                    <c:v>Brent</c:v>
                  </c:pt>
                  <c:pt idx="7">
                    <c:v>Daniel</c:v>
                  </c:pt>
                  <c:pt idx="8">
                    <c:v>Mrs. Beast</c:v>
                  </c:pt>
                  <c:pt idx="9">
                    <c:v>Beast</c:v>
                  </c:pt>
                </c:lvl>
                <c:lvl>
                  <c:pt idx="0">
                    <c:v>11</c:v>
                  </c:pt>
                  <c:pt idx="1">
                    <c:v>12</c:v>
                  </c:pt>
                  <c:pt idx="2">
                    <c:v>13</c:v>
                  </c:pt>
                  <c:pt idx="3">
                    <c:v>14</c:v>
                  </c:pt>
                  <c:pt idx="4">
                    <c:v>15</c:v>
                  </c:pt>
                  <c:pt idx="5">
                    <c:v>16</c:v>
                  </c:pt>
                  <c:pt idx="6">
                    <c:v>17</c:v>
                  </c:pt>
                  <c:pt idx="7">
                    <c:v>18</c:v>
                  </c:pt>
                  <c:pt idx="8">
                    <c:v>19</c:v>
                  </c:pt>
                  <c:pt idx="9">
                    <c:v>20</c:v>
                  </c:pt>
                </c:lvl>
                <c:lvl>
                  <c:pt idx="0">
                    <c:v>Nelly Korda</c:v>
                  </c:pt>
                  <c:pt idx="1">
                    <c:v>Lydia Ko</c:v>
                  </c:pt>
                  <c:pt idx="2">
                    <c:v>Yuka Saso</c:v>
                  </c:pt>
                  <c:pt idx="3">
                    <c:v>Ruoning Yin</c:v>
                  </c:pt>
                  <c:pt idx="4">
                    <c:v>Lilia Vu</c:v>
                  </c:pt>
                  <c:pt idx="5">
                    <c:v>Celine Boutier</c:v>
                  </c:pt>
                  <c:pt idx="6">
                    <c:v>Rose Zhang</c:v>
                  </c:pt>
                  <c:pt idx="7">
                    <c:v>Jeeno Thitikul</c:v>
                  </c:pt>
                  <c:pt idx="8">
                    <c:v>Hannah Green</c:v>
                  </c:pt>
                  <c:pt idx="9">
                    <c:v>Haeran Ryu</c:v>
                  </c:pt>
                </c:lvl>
                <c:lvl>
                  <c:pt idx="0">
                    <c:v>Kevan (Beast)</c:v>
                  </c:pt>
                  <c:pt idx="1">
                    <c:v>Mrs. Beast</c:v>
                  </c:pt>
                  <c:pt idx="2">
                    <c:v>Daniel</c:v>
                  </c:pt>
                  <c:pt idx="3">
                    <c:v>Brent</c:v>
                  </c:pt>
                  <c:pt idx="4">
                    <c:v>Lawrence</c:v>
                  </c:pt>
                  <c:pt idx="5">
                    <c:v>Seumas</c:v>
                  </c:pt>
                  <c:pt idx="6">
                    <c:v>James</c:v>
                  </c:pt>
                  <c:pt idx="7">
                    <c:v>Bryce</c:v>
                  </c:pt>
                  <c:pt idx="8">
                    <c:v>Jon Mark</c:v>
                  </c:pt>
                  <c:pt idx="9">
                    <c:v>Beast (Kevan)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Draft!$J$53:$J$62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8-4FAD-A7A5-AB47A6C24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3132704"/>
        <c:axId val="783139592"/>
      </c:barChart>
      <c:catAx>
        <c:axId val="78313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39592"/>
        <c:crosses val="autoZero"/>
        <c:auto val="1"/>
        <c:lblAlgn val="ctr"/>
        <c:lblOffset val="100"/>
        <c:noMultiLvlLbl val="0"/>
      </c:catAx>
      <c:valAx>
        <c:axId val="78313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3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69550A8-DD8E-4605-BBE9-3F6E08F8D6D7}">
  <sheetPr codeName="Chart1"/>
  <sheetViews>
    <sheetView zoomScale="1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witter.com/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111498</xdr:colOff>
      <xdr:row>13</xdr:row>
      <xdr:rowOff>41747</xdr:rowOff>
    </xdr:from>
    <xdr:to>
      <xdr:col>31</xdr:col>
      <xdr:colOff>470645</xdr:colOff>
      <xdr:row>57</xdr:row>
      <xdr:rowOff>10117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0.00686</cdr:x>
      <cdr:y>0.93735</cdr:y>
    </cdr:from>
    <cdr:to>
      <cdr:x>0.04978</cdr:x>
      <cdr:y>0.9943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00000000-0008-0000-0100-000005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9648" y="9213751"/>
          <a:ext cx="560854" cy="559766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99069</xdr:colOff>
      <xdr:row>1</xdr:row>
      <xdr:rowOff>1</xdr:rowOff>
    </xdr:from>
    <xdr:to>
      <xdr:col>10</xdr:col>
      <xdr:colOff>784141</xdr:colOff>
      <xdr:row>2</xdr:row>
      <xdr:rowOff>1731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2415" y="51289"/>
          <a:ext cx="696502" cy="695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135</xdr:row>
      <xdr:rowOff>0</xdr:rowOff>
    </xdr:from>
    <xdr:to>
      <xdr:col>43</xdr:col>
      <xdr:colOff>174761</xdr:colOff>
      <xdr:row>135</xdr:row>
      <xdr:rowOff>307422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30375" y="27412950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97</xdr:row>
      <xdr:rowOff>0</xdr:rowOff>
    </xdr:from>
    <xdr:to>
      <xdr:col>45</xdr:col>
      <xdr:colOff>173934</xdr:colOff>
      <xdr:row>97</xdr:row>
      <xdr:rowOff>288594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30375" y="2363152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97</xdr:row>
      <xdr:rowOff>0</xdr:rowOff>
    </xdr:from>
    <xdr:to>
      <xdr:col>44</xdr:col>
      <xdr:colOff>173934</xdr:colOff>
      <xdr:row>97</xdr:row>
      <xdr:rowOff>288594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68425" y="2363152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40</xdr:row>
      <xdr:rowOff>0</xdr:rowOff>
    </xdr:from>
    <xdr:to>
      <xdr:col>45</xdr:col>
      <xdr:colOff>173934</xdr:colOff>
      <xdr:row>40</xdr:row>
      <xdr:rowOff>288594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30375" y="19850100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59</xdr:row>
      <xdr:rowOff>0</xdr:rowOff>
    </xdr:from>
    <xdr:to>
      <xdr:col>51</xdr:col>
      <xdr:colOff>173934</xdr:colOff>
      <xdr:row>59</xdr:row>
      <xdr:rowOff>288594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30375" y="1606867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50</xdr:col>
      <xdr:colOff>0</xdr:colOff>
      <xdr:row>59</xdr:row>
      <xdr:rowOff>0</xdr:rowOff>
    </xdr:from>
    <xdr:to>
      <xdr:col>50</xdr:col>
      <xdr:colOff>173934</xdr:colOff>
      <xdr:row>59</xdr:row>
      <xdr:rowOff>288594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68425" y="1606867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21</xdr:row>
      <xdr:rowOff>0</xdr:rowOff>
    </xdr:from>
    <xdr:to>
      <xdr:col>46</xdr:col>
      <xdr:colOff>174761</xdr:colOff>
      <xdr:row>21</xdr:row>
      <xdr:rowOff>307422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982575" y="473392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21</xdr:row>
      <xdr:rowOff>0</xdr:rowOff>
    </xdr:from>
    <xdr:to>
      <xdr:col>47</xdr:col>
      <xdr:colOff>174761</xdr:colOff>
      <xdr:row>21</xdr:row>
      <xdr:rowOff>307422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44525" y="473392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21</xdr:row>
      <xdr:rowOff>0</xdr:rowOff>
    </xdr:from>
    <xdr:to>
      <xdr:col>48</xdr:col>
      <xdr:colOff>174761</xdr:colOff>
      <xdr:row>21</xdr:row>
      <xdr:rowOff>307422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68425" y="473392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21</xdr:row>
      <xdr:rowOff>0</xdr:rowOff>
    </xdr:from>
    <xdr:to>
      <xdr:col>49</xdr:col>
      <xdr:colOff>173934</xdr:colOff>
      <xdr:row>21</xdr:row>
      <xdr:rowOff>288594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30375" y="473392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116</xdr:row>
      <xdr:rowOff>0</xdr:rowOff>
    </xdr:from>
    <xdr:to>
      <xdr:col>49</xdr:col>
      <xdr:colOff>173934</xdr:colOff>
      <xdr:row>116</xdr:row>
      <xdr:rowOff>288594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30375" y="952500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116</xdr:row>
      <xdr:rowOff>0</xdr:rowOff>
    </xdr:from>
    <xdr:to>
      <xdr:col>48</xdr:col>
      <xdr:colOff>173934</xdr:colOff>
      <xdr:row>116</xdr:row>
      <xdr:rowOff>288594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68425" y="952500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2</xdr:row>
      <xdr:rowOff>0</xdr:rowOff>
    </xdr:from>
    <xdr:to>
      <xdr:col>44</xdr:col>
      <xdr:colOff>174761</xdr:colOff>
      <xdr:row>2</xdr:row>
      <xdr:rowOff>307422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16700" y="952500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2</xdr:row>
      <xdr:rowOff>0</xdr:rowOff>
    </xdr:from>
    <xdr:to>
      <xdr:col>45</xdr:col>
      <xdr:colOff>173934</xdr:colOff>
      <xdr:row>2</xdr:row>
      <xdr:rowOff>288594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26300" y="952500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36</xdr:col>
      <xdr:colOff>246530</xdr:colOff>
      <xdr:row>1</xdr:row>
      <xdr:rowOff>7844</xdr:rowOff>
    </xdr:from>
    <xdr:to>
      <xdr:col>40</xdr:col>
      <xdr:colOff>1235451</xdr:colOff>
      <xdr:row>1</xdr:row>
      <xdr:rowOff>646609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8" t="21810" r="5043" b="22175"/>
        <a:stretch/>
      </xdr:blipFill>
      <xdr:spPr>
        <a:xfrm>
          <a:off x="14926236" y="52668"/>
          <a:ext cx="2860302" cy="638765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78</xdr:row>
      <xdr:rowOff>0</xdr:rowOff>
    </xdr:from>
    <xdr:to>
      <xdr:col>45</xdr:col>
      <xdr:colOff>169536</xdr:colOff>
      <xdr:row>78</xdr:row>
      <xdr:rowOff>304044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36706" y="739588"/>
          <a:ext cx="177156" cy="304044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78</xdr:row>
      <xdr:rowOff>0</xdr:rowOff>
    </xdr:from>
    <xdr:to>
      <xdr:col>46</xdr:col>
      <xdr:colOff>174761</xdr:colOff>
      <xdr:row>78</xdr:row>
      <xdr:rowOff>307422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98706" y="739588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78</xdr:row>
      <xdr:rowOff>0</xdr:rowOff>
    </xdr:from>
    <xdr:to>
      <xdr:col>47</xdr:col>
      <xdr:colOff>173934</xdr:colOff>
      <xdr:row>78</xdr:row>
      <xdr:rowOff>288594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679706" y="739588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78</xdr:row>
      <xdr:rowOff>0</xdr:rowOff>
    </xdr:from>
    <xdr:to>
      <xdr:col>44</xdr:col>
      <xdr:colOff>169536</xdr:colOff>
      <xdr:row>78</xdr:row>
      <xdr:rowOff>304044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774706" y="739588"/>
          <a:ext cx="177156" cy="304044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116</xdr:row>
      <xdr:rowOff>0</xdr:rowOff>
    </xdr:from>
    <xdr:to>
      <xdr:col>47</xdr:col>
      <xdr:colOff>173934</xdr:colOff>
      <xdr:row>116</xdr:row>
      <xdr:rowOff>288594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55706" y="8157882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116</xdr:row>
      <xdr:rowOff>0</xdr:rowOff>
    </xdr:from>
    <xdr:to>
      <xdr:col>46</xdr:col>
      <xdr:colOff>174761</xdr:colOff>
      <xdr:row>116</xdr:row>
      <xdr:rowOff>307422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774706" y="8157882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59</xdr:row>
      <xdr:rowOff>0</xdr:rowOff>
    </xdr:from>
    <xdr:to>
      <xdr:col>48</xdr:col>
      <xdr:colOff>174761</xdr:colOff>
      <xdr:row>59</xdr:row>
      <xdr:rowOff>307422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774706" y="444873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59</xdr:row>
      <xdr:rowOff>0</xdr:rowOff>
    </xdr:from>
    <xdr:to>
      <xdr:col>49</xdr:col>
      <xdr:colOff>173934</xdr:colOff>
      <xdr:row>59</xdr:row>
      <xdr:rowOff>288594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55706" y="444873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43</xdr:col>
      <xdr:colOff>0</xdr:colOff>
      <xdr:row>97</xdr:row>
      <xdr:rowOff>0</xdr:rowOff>
    </xdr:from>
    <xdr:to>
      <xdr:col>43</xdr:col>
      <xdr:colOff>174761</xdr:colOff>
      <xdr:row>97</xdr:row>
      <xdr:rowOff>307422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55706" y="11698941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43</xdr:col>
      <xdr:colOff>0</xdr:colOff>
      <xdr:row>116</xdr:row>
      <xdr:rowOff>0</xdr:rowOff>
    </xdr:from>
    <xdr:to>
      <xdr:col>43</xdr:col>
      <xdr:colOff>190500</xdr:colOff>
      <xdr:row>117</xdr:row>
      <xdr:rowOff>1976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54025" y="74295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21</xdr:row>
      <xdr:rowOff>0</xdr:rowOff>
    </xdr:from>
    <xdr:to>
      <xdr:col>44</xdr:col>
      <xdr:colOff>174761</xdr:colOff>
      <xdr:row>21</xdr:row>
      <xdr:rowOff>307422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36706" y="26703618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21</xdr:row>
      <xdr:rowOff>0</xdr:rowOff>
    </xdr:from>
    <xdr:to>
      <xdr:col>45</xdr:col>
      <xdr:colOff>174761</xdr:colOff>
      <xdr:row>21</xdr:row>
      <xdr:rowOff>307422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917706" y="26703618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43</xdr:col>
      <xdr:colOff>0</xdr:colOff>
      <xdr:row>40</xdr:row>
      <xdr:rowOff>0</xdr:rowOff>
    </xdr:from>
    <xdr:to>
      <xdr:col>43</xdr:col>
      <xdr:colOff>174761</xdr:colOff>
      <xdr:row>40</xdr:row>
      <xdr:rowOff>307422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679706" y="19285324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40</xdr:row>
      <xdr:rowOff>0</xdr:rowOff>
    </xdr:from>
    <xdr:to>
      <xdr:col>44</xdr:col>
      <xdr:colOff>173934</xdr:colOff>
      <xdr:row>40</xdr:row>
      <xdr:rowOff>288594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0706" y="19285324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116</xdr:row>
      <xdr:rowOff>0</xdr:rowOff>
    </xdr:from>
    <xdr:to>
      <xdr:col>44</xdr:col>
      <xdr:colOff>190500</xdr:colOff>
      <xdr:row>117</xdr:row>
      <xdr:rowOff>1976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35025" y="74295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116</xdr:row>
      <xdr:rowOff>0</xdr:rowOff>
    </xdr:from>
    <xdr:to>
      <xdr:col>45</xdr:col>
      <xdr:colOff>190500</xdr:colOff>
      <xdr:row>117</xdr:row>
      <xdr:rowOff>1976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916025" y="74295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59</xdr:row>
      <xdr:rowOff>0</xdr:rowOff>
    </xdr:from>
    <xdr:to>
      <xdr:col>47</xdr:col>
      <xdr:colOff>190500</xdr:colOff>
      <xdr:row>60</xdr:row>
      <xdr:rowOff>1976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916025" y="811530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59</xdr:row>
      <xdr:rowOff>0</xdr:rowOff>
    </xdr:from>
    <xdr:to>
      <xdr:col>46</xdr:col>
      <xdr:colOff>190500</xdr:colOff>
      <xdr:row>60</xdr:row>
      <xdr:rowOff>1976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35025" y="811530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59</xdr:row>
      <xdr:rowOff>0</xdr:rowOff>
    </xdr:from>
    <xdr:to>
      <xdr:col>45</xdr:col>
      <xdr:colOff>190500</xdr:colOff>
      <xdr:row>60</xdr:row>
      <xdr:rowOff>1976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54025" y="811530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59</xdr:row>
      <xdr:rowOff>0</xdr:rowOff>
    </xdr:from>
    <xdr:to>
      <xdr:col>44</xdr:col>
      <xdr:colOff>190500</xdr:colOff>
      <xdr:row>60</xdr:row>
      <xdr:rowOff>1976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773025" y="811530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43</xdr:col>
      <xdr:colOff>0</xdr:colOff>
      <xdr:row>59</xdr:row>
      <xdr:rowOff>0</xdr:rowOff>
    </xdr:from>
    <xdr:to>
      <xdr:col>43</xdr:col>
      <xdr:colOff>190500</xdr:colOff>
      <xdr:row>60</xdr:row>
      <xdr:rowOff>1976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392025" y="811530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43</xdr:col>
      <xdr:colOff>67235</xdr:colOff>
      <xdr:row>21</xdr:row>
      <xdr:rowOff>0</xdr:rowOff>
    </xdr:from>
    <xdr:to>
      <xdr:col>43</xdr:col>
      <xdr:colOff>246305</xdr:colOff>
      <xdr:row>22</xdr:row>
      <xdr:rowOff>1975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23323" y="4448735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43</xdr:col>
      <xdr:colOff>0</xdr:colOff>
      <xdr:row>2</xdr:row>
      <xdr:rowOff>0</xdr:rowOff>
    </xdr:from>
    <xdr:to>
      <xdr:col>43</xdr:col>
      <xdr:colOff>190500</xdr:colOff>
      <xdr:row>3</xdr:row>
      <xdr:rowOff>1975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49975" y="74295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78</xdr:row>
      <xdr:rowOff>0</xdr:rowOff>
    </xdr:from>
    <xdr:to>
      <xdr:col>4</xdr:col>
      <xdr:colOff>190500</xdr:colOff>
      <xdr:row>79</xdr:row>
      <xdr:rowOff>1976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25" y="742950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116</xdr:row>
      <xdr:rowOff>0</xdr:rowOff>
    </xdr:from>
    <xdr:to>
      <xdr:col>4</xdr:col>
      <xdr:colOff>190500</xdr:colOff>
      <xdr:row>117</xdr:row>
      <xdr:rowOff>10258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7706" y="4448735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174761</xdr:colOff>
      <xdr:row>116</xdr:row>
      <xdr:rowOff>307422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8706" y="444873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116</xdr:row>
      <xdr:rowOff>0</xdr:rowOff>
    </xdr:from>
    <xdr:to>
      <xdr:col>6</xdr:col>
      <xdr:colOff>174761</xdr:colOff>
      <xdr:row>116</xdr:row>
      <xdr:rowOff>307422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9706" y="444873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7</xdr:col>
      <xdr:colOff>174761</xdr:colOff>
      <xdr:row>116</xdr:row>
      <xdr:rowOff>307422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0706" y="444873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116</xdr:row>
      <xdr:rowOff>0</xdr:rowOff>
    </xdr:from>
    <xdr:to>
      <xdr:col>8</xdr:col>
      <xdr:colOff>174761</xdr:colOff>
      <xdr:row>116</xdr:row>
      <xdr:rowOff>307422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1706" y="444873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116</xdr:row>
      <xdr:rowOff>0</xdr:rowOff>
    </xdr:from>
    <xdr:to>
      <xdr:col>9</xdr:col>
      <xdr:colOff>174761</xdr:colOff>
      <xdr:row>116</xdr:row>
      <xdr:rowOff>307422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2706" y="444873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116</xdr:row>
      <xdr:rowOff>0</xdr:rowOff>
    </xdr:from>
    <xdr:to>
      <xdr:col>10</xdr:col>
      <xdr:colOff>173934</xdr:colOff>
      <xdr:row>116</xdr:row>
      <xdr:rowOff>288594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3706" y="444873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173</xdr:row>
      <xdr:rowOff>0</xdr:rowOff>
    </xdr:from>
    <xdr:to>
      <xdr:col>6</xdr:col>
      <xdr:colOff>173934</xdr:colOff>
      <xdr:row>173</xdr:row>
      <xdr:rowOff>288594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9706" y="8157882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174761</xdr:colOff>
      <xdr:row>135</xdr:row>
      <xdr:rowOff>307422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9706" y="15576176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173934</xdr:colOff>
      <xdr:row>135</xdr:row>
      <xdr:rowOff>288594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0706" y="15576176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190500</xdr:colOff>
      <xdr:row>3</xdr:row>
      <xdr:rowOff>1975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7706" y="11867029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190500</xdr:colOff>
      <xdr:row>3</xdr:row>
      <xdr:rowOff>1975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8706" y="11867029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190500</xdr:colOff>
      <xdr:row>3</xdr:row>
      <xdr:rowOff>1975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9706" y="11867029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190500</xdr:colOff>
      <xdr:row>3</xdr:row>
      <xdr:rowOff>1975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0706" y="11867029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190500</xdr:colOff>
      <xdr:row>3</xdr:row>
      <xdr:rowOff>1975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1706" y="11867029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174761</xdr:colOff>
      <xdr:row>59</xdr:row>
      <xdr:rowOff>307422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7706" y="19285324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173934</xdr:colOff>
      <xdr:row>59</xdr:row>
      <xdr:rowOff>288594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8706" y="19285324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6</xdr:col>
      <xdr:colOff>173934</xdr:colOff>
      <xdr:row>59</xdr:row>
      <xdr:rowOff>288594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9706" y="19285324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190500</xdr:colOff>
      <xdr:row>22</xdr:row>
      <xdr:rowOff>1976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7706" y="22994471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190500</xdr:colOff>
      <xdr:row>22</xdr:row>
      <xdr:rowOff>1976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8706" y="22994471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190500</xdr:colOff>
      <xdr:row>22</xdr:row>
      <xdr:rowOff>1976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9706" y="22994471"/>
          <a:ext cx="190500" cy="32694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174761</xdr:colOff>
      <xdr:row>21</xdr:row>
      <xdr:rowOff>307422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0706" y="22994471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</xdr:row>
      <xdr:rowOff>0</xdr:rowOff>
    </xdr:from>
    <xdr:to>
      <xdr:col>9</xdr:col>
      <xdr:colOff>173934</xdr:colOff>
      <xdr:row>21</xdr:row>
      <xdr:rowOff>288594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2706" y="22994471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173934</xdr:colOff>
      <xdr:row>21</xdr:row>
      <xdr:rowOff>288594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3706" y="22994471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174761</xdr:colOff>
      <xdr:row>97</xdr:row>
      <xdr:rowOff>307422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7706" y="26703618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7</xdr:col>
      <xdr:colOff>173934</xdr:colOff>
      <xdr:row>173</xdr:row>
      <xdr:rowOff>288594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742950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174761</xdr:colOff>
      <xdr:row>173</xdr:row>
      <xdr:rowOff>307422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742950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190500</xdr:colOff>
      <xdr:row>174</xdr:row>
      <xdr:rowOff>9872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22468" y="26867922"/>
          <a:ext cx="190500" cy="34833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173934</xdr:colOff>
      <xdr:row>2</xdr:row>
      <xdr:rowOff>288594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15025" y="4448175"/>
          <a:ext cx="173934" cy="294309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</xdr:row>
      <xdr:rowOff>0</xdr:rowOff>
    </xdr:from>
    <xdr:to>
      <xdr:col>10</xdr:col>
      <xdr:colOff>174761</xdr:colOff>
      <xdr:row>2</xdr:row>
      <xdr:rowOff>307422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5" y="4448175"/>
          <a:ext cx="184286" cy="30742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</xdr:row>
      <xdr:rowOff>0</xdr:rowOff>
    </xdr:from>
    <xdr:to>
      <xdr:col>14</xdr:col>
      <xdr:colOff>173934</xdr:colOff>
      <xdr:row>2</xdr:row>
      <xdr:rowOff>288594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3A732B-74E0-43A2-9E2A-6F65B60C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208" y="5096494"/>
          <a:ext cx="170124" cy="28478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11</xdr:col>
      <xdr:colOff>174761</xdr:colOff>
      <xdr:row>2</xdr:row>
      <xdr:rowOff>307422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009E50-C1B8-4CDC-B194-29B443E9A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6786" y="5096494"/>
          <a:ext cx="170951" cy="30742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190500</xdr:colOff>
      <xdr:row>41</xdr:row>
      <xdr:rowOff>1976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BC4705C-E169-4A8F-BC11-5337CB63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22468" y="9450779"/>
          <a:ext cx="190500" cy="34833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173934</xdr:colOff>
      <xdr:row>135</xdr:row>
      <xdr:rowOff>288594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F159AB4-1EFB-4F54-A35C-95E0AB79B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6364" y="35650714"/>
          <a:ext cx="170124" cy="28478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190500</xdr:colOff>
      <xdr:row>136</xdr:row>
      <xdr:rowOff>1976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F730307-69A0-417B-82B9-0CFD93882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22468" y="35650714"/>
          <a:ext cx="190500" cy="34833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190500</xdr:colOff>
      <xdr:row>136</xdr:row>
      <xdr:rowOff>1976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2A223C4-A906-41B2-BB8A-8802E3260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5942" y="35650714"/>
          <a:ext cx="190500" cy="34833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173934</xdr:colOff>
      <xdr:row>40</xdr:row>
      <xdr:rowOff>288594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AFA464C-4EAD-444E-8601-090CC8EDE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5870" y="745435"/>
          <a:ext cx="173934" cy="28859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179070</xdr:colOff>
      <xdr:row>41</xdr:row>
      <xdr:rowOff>1975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3E6BC8C-5865-4B9B-A854-442BE0502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4870" y="745435"/>
          <a:ext cx="179070" cy="34156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174761</xdr:colOff>
      <xdr:row>78</xdr:row>
      <xdr:rowOff>307422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866C453-3CEB-46B2-AA71-8F98AF56F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4870" y="14287500"/>
          <a:ext cx="174761" cy="30742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21</xdr:row>
      <xdr:rowOff>0</xdr:rowOff>
    </xdr:from>
    <xdr:to>
      <xdr:col>11</xdr:col>
      <xdr:colOff>173934</xdr:colOff>
      <xdr:row>21</xdr:row>
      <xdr:rowOff>288594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5A2C687-2BD0-4A7B-808B-76B430CE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0870" y="41504152"/>
          <a:ext cx="173934" cy="28859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173934</xdr:colOff>
      <xdr:row>40</xdr:row>
      <xdr:rowOff>288594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1BAB8-78FB-4BA1-9219-F3A9CD1A7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76870" y="8945217"/>
          <a:ext cx="173934" cy="28859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21</xdr:row>
      <xdr:rowOff>0</xdr:rowOff>
    </xdr:from>
    <xdr:to>
      <xdr:col>12</xdr:col>
      <xdr:colOff>173934</xdr:colOff>
      <xdr:row>21</xdr:row>
      <xdr:rowOff>288594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4540AFE-C954-45B7-A516-0EDB20F4F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1870" y="4845326"/>
          <a:ext cx="173934" cy="28859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174761</xdr:colOff>
      <xdr:row>21</xdr:row>
      <xdr:rowOff>307422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8710F25-58AA-426F-89C6-48904362B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7870" y="4845326"/>
          <a:ext cx="174761" cy="30742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15</xdr:col>
      <xdr:colOff>173934</xdr:colOff>
      <xdr:row>2</xdr:row>
      <xdr:rowOff>288594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A3B9219-AA51-474F-A358-DF3733FD5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4870" y="745435"/>
          <a:ext cx="173934" cy="28859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174761</xdr:colOff>
      <xdr:row>2</xdr:row>
      <xdr:rowOff>307422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35B8328-A99A-4220-86C8-E155CF425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1870" y="745435"/>
          <a:ext cx="174761" cy="307422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9</xdr:col>
      <xdr:colOff>190500</xdr:colOff>
      <xdr:row>3</xdr:row>
      <xdr:rowOff>1975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C5DCB63-8F01-40F9-BA39-14BFC7898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8870" y="745435"/>
          <a:ext cx="190500" cy="3415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600441</xdr:colOff>
      <xdr:row>1</xdr:row>
      <xdr:rowOff>44823</xdr:rowOff>
    </xdr:from>
    <xdr:to>
      <xdr:col>12</xdr:col>
      <xdr:colOff>1489895</xdr:colOff>
      <xdr:row>1</xdr:row>
      <xdr:rowOff>504264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8680" y="69671"/>
          <a:ext cx="2140128" cy="4594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1200150</xdr:colOff>
      <xdr:row>1</xdr:row>
      <xdr:rowOff>1</xdr:rowOff>
    </xdr:from>
    <xdr:to>
      <xdr:col>6</xdr:col>
      <xdr:colOff>1638300</xdr:colOff>
      <xdr:row>2</xdr:row>
      <xdr:rowOff>1156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4D76AAD-4F51-482B-A1D5-D49EF2038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28576"/>
          <a:ext cx="438150" cy="4373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333580</xdr:colOff>
      <xdr:row>1</xdr:row>
      <xdr:rowOff>9214</xdr:rowOff>
    </xdr:from>
    <xdr:to>
      <xdr:col>9</xdr:col>
      <xdr:colOff>598624</xdr:colOff>
      <xdr:row>1</xdr:row>
      <xdr:rowOff>909948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9105" y="56839"/>
          <a:ext cx="903219" cy="9007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1522298</xdr:colOff>
      <xdr:row>0</xdr:row>
      <xdr:rowOff>25514</xdr:rowOff>
    </xdr:from>
    <xdr:to>
      <xdr:col>9</xdr:col>
      <xdr:colOff>2194151</xdr:colOff>
      <xdr:row>2</xdr:row>
      <xdr:rowOff>266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1494" y="25514"/>
          <a:ext cx="671853" cy="67054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1179165</xdr:colOff>
      <xdr:row>0</xdr:row>
      <xdr:rowOff>37183</xdr:rowOff>
    </xdr:from>
    <xdr:to>
      <xdr:col>9</xdr:col>
      <xdr:colOff>1892555</xdr:colOff>
      <xdr:row>2</xdr:row>
      <xdr:rowOff>32853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8518" y="37183"/>
          <a:ext cx="713390" cy="71284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268</xdr:row>
      <xdr:rowOff>0</xdr:rowOff>
    </xdr:from>
    <xdr:to>
      <xdr:col>26</xdr:col>
      <xdr:colOff>304800</xdr:colOff>
      <xdr:row>269</xdr:row>
      <xdr:rowOff>114300</xdr:rowOff>
    </xdr:to>
    <xdr:sp macro="" textlink="">
      <xdr:nvSpPr>
        <xdr:cNvPr id="2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3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4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5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6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7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8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9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0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1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2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3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4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5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6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268</xdr:row>
      <xdr:rowOff>0</xdr:rowOff>
    </xdr:from>
    <xdr:ext cx="304800" cy="304800"/>
    <xdr:sp macro="" textlink="">
      <xdr:nvSpPr>
        <xdr:cNvPr id="17" name="AutoShape 189" descr="data:image/gif;base64,R0lGODlhAQABAIAAAAAAAP///yH5BAEAAAAALAAAAAABAAEAAAIBRAA7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41614725" y="481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0FC32F-DBB2-28A5-EF11-C9EB72B2313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B3:K14" totalsRowShown="0" headerRowDxfId="14" dataDxfId="12" headerRowBorderDxfId="13" tableBorderDxfId="11">
  <autoFilter ref="B3:K1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B4:K14">
    <sortCondition descending="1" ref="E3:E14"/>
  </sortState>
  <tableColumns count="10">
    <tableColumn id="1" xr3:uid="{00000000-0010-0000-0000-000001000000}" name="Rank" dataDxfId="10"/>
    <tableColumn id="2" xr3:uid="{00000000-0010-0000-0000-000002000000}" name="Change" dataDxfId="9"/>
    <tableColumn id="3" xr3:uid="{00000000-0010-0000-0000-000003000000}" name="Team" dataDxfId="8"/>
    <tableColumn id="5" xr3:uid="{00000000-0010-0000-0000-000005000000}" name="Total" dataDxfId="7"/>
    <tableColumn id="6" xr3:uid="{00000000-0010-0000-0000-000006000000}" name="Last Week" dataDxfId="6"/>
    <tableColumn id="8" xr3:uid="{00000000-0010-0000-0000-000008000000}" name="Wins" dataDxfId="5"/>
    <tableColumn id="10" xr3:uid="{00000000-0010-0000-0000-00000A000000}" name="Major Wins" dataDxfId="4"/>
    <tableColumn id="7" xr3:uid="{00000000-0010-0000-0000-000007000000}" name="Top Tens" dataDxfId="3"/>
    <tableColumn id="9" xr3:uid="{00000000-0010-0000-0000-000009000000}" name="Major Top Tens" dataDxfId="2"/>
    <tableColumn id="11" xr3:uid="{00000000-0010-0000-0000-00000B000000}" name="LPGA" dataDxfId="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T1:AV2717" totalsRowShown="0">
  <autoFilter ref="AT1:AV2717" xr:uid="{00000000-0009-0000-0100-000001000000}"/>
  <tableColumns count="3">
    <tableColumn id="1" xr3:uid="{00000000-0010-0000-0100-000001000000}" name="Column1"/>
    <tableColumn id="2" xr3:uid="{00000000-0010-0000-0100-000002000000}" name="Column2" dataDxfId="0" dataCellStyle="Percent"/>
    <tableColumn id="3" xr3:uid="{00000000-0010-0000-0100-000003000000}" name="Column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66"/>
  <sheetViews>
    <sheetView topLeftCell="A7" zoomScale="85" zoomScaleNormal="85" workbookViewId="0">
      <selection activeCell="AO14" sqref="AO14"/>
    </sheetView>
  </sheetViews>
  <sheetFormatPr defaultColWidth="9.140625" defaultRowHeight="18"/>
  <cols>
    <col min="1" max="2" width="9.140625" style="4"/>
    <col min="3" max="33" width="7" style="4" customWidth="1"/>
    <col min="34" max="16384" width="9.140625" style="4"/>
  </cols>
  <sheetData>
    <row r="1" spans="1:36"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>
        <v>28</v>
      </c>
      <c r="AE1" s="4">
        <v>29</v>
      </c>
      <c r="AF1" s="4">
        <v>30</v>
      </c>
      <c r="AG1" s="4">
        <v>31</v>
      </c>
      <c r="AH1" s="4">
        <v>32</v>
      </c>
      <c r="AI1" s="4">
        <v>33</v>
      </c>
      <c r="AJ1" s="4">
        <v>34</v>
      </c>
    </row>
    <row r="2" spans="1:36">
      <c r="A2" s="4" t="s">
        <v>1969</v>
      </c>
      <c r="B2" s="4">
        <v>0</v>
      </c>
      <c r="C2" s="4">
        <f>B2+Rosters!E58</f>
        <v>40</v>
      </c>
      <c r="D2" s="4">
        <f>C2+Rosters!F58</f>
        <v>135</v>
      </c>
      <c r="E2" s="4">
        <f>D2+Rosters!G58</f>
        <v>165</v>
      </c>
      <c r="F2" s="4">
        <f>E2+Rosters!H58</f>
        <v>165</v>
      </c>
      <c r="G2" s="4">
        <f>F2+Rosters!I58</f>
        <v>205</v>
      </c>
      <c r="H2" s="4">
        <f>G2+Rosters!J58</f>
        <v>265</v>
      </c>
      <c r="I2" s="4">
        <f>H2+Rosters!K58</f>
        <v>440</v>
      </c>
      <c r="J2" s="4">
        <f>I2+Rosters!L58</f>
        <v>445</v>
      </c>
      <c r="K2" s="4">
        <f>J2+Rosters!M58</f>
        <v>455</v>
      </c>
      <c r="L2" s="4">
        <f>K2+Rosters!N58</f>
        <v>510</v>
      </c>
      <c r="M2" s="4">
        <f>L2+Rosters!O58</f>
        <v>605</v>
      </c>
      <c r="N2" s="4">
        <f>M2+Rosters!P58</f>
        <v>620</v>
      </c>
      <c r="O2" s="4">
        <f>N2+Rosters!Q58</f>
        <v>675</v>
      </c>
      <c r="P2" s="4">
        <f>O2+Rosters!R58</f>
        <v>730</v>
      </c>
      <c r="Q2" s="4">
        <f>P2+Rosters!S58</f>
        <v>945</v>
      </c>
      <c r="R2" s="4">
        <f>Q2+Rosters!T58</f>
        <v>990</v>
      </c>
      <c r="S2" s="4">
        <f>R2+Rosters!U58</f>
        <v>1030</v>
      </c>
      <c r="T2" s="4">
        <f>S2+Rosters!V58</f>
        <v>1110</v>
      </c>
      <c r="U2" s="4">
        <f>T2+Rosters!W58</f>
        <v>1195</v>
      </c>
      <c r="V2" s="4">
        <f>U2+Rosters!X58</f>
        <v>1505</v>
      </c>
      <c r="W2" s="4">
        <f>V2+Rosters!Y58</f>
        <v>1575</v>
      </c>
      <c r="X2" s="4">
        <f>W2+Rosters!Z58</f>
        <v>1800</v>
      </c>
      <c r="Y2" s="4">
        <f>X2+Rosters!AA58</f>
        <v>1835</v>
      </c>
      <c r="Z2" s="4">
        <f>Y2+Rosters!AB58</f>
        <v>1995</v>
      </c>
      <c r="AA2" s="4">
        <f>Z2+Rosters!AC58</f>
        <v>2065</v>
      </c>
      <c r="AB2" s="4">
        <f>AA2+Rosters!AD58</f>
        <v>2120</v>
      </c>
      <c r="AC2" s="4">
        <f>AB2+Rosters!AE58</f>
        <v>2140</v>
      </c>
      <c r="AD2" s="4">
        <f>AC2+Rosters!AF58</f>
        <v>2185</v>
      </c>
      <c r="AE2" s="4">
        <f>AD2+Rosters!AG58</f>
        <v>2575</v>
      </c>
      <c r="AF2" s="4">
        <f>AE2+Rosters!AH58</f>
        <v>2640</v>
      </c>
      <c r="AG2" s="4">
        <f>AF2+Rosters!AI58</f>
        <v>2690</v>
      </c>
      <c r="AH2" s="4">
        <f>AG2+Rosters!AJ58</f>
        <v>2830</v>
      </c>
      <c r="AI2" s="4">
        <f>AH2+Rosters!AK58</f>
        <v>3090</v>
      </c>
      <c r="AJ2" s="4">
        <f>AI2+Rosters!AL58</f>
        <v>3195</v>
      </c>
    </row>
    <row r="3" spans="1:36">
      <c r="A3" s="4" t="s">
        <v>104</v>
      </c>
      <c r="B3" s="4">
        <v>0</v>
      </c>
      <c r="C3" s="4">
        <f>B3+Rosters!E96</f>
        <v>50</v>
      </c>
      <c r="D3" s="4">
        <f>C3+Rosters!F96</f>
        <v>60</v>
      </c>
      <c r="E3" s="4">
        <f>D3+Rosters!G96</f>
        <v>110</v>
      </c>
      <c r="F3" s="4">
        <f>E3+Rosters!H96</f>
        <v>110</v>
      </c>
      <c r="G3" s="4">
        <f>F3+Rosters!I96</f>
        <v>140</v>
      </c>
      <c r="H3" s="4">
        <f>G3+Rosters!J96</f>
        <v>180</v>
      </c>
      <c r="I3" s="4">
        <f>H3+Rosters!K96</f>
        <v>250</v>
      </c>
      <c r="J3" s="4">
        <f>I3+Rosters!L96</f>
        <v>285</v>
      </c>
      <c r="K3" s="4">
        <f>J3+Rosters!M96</f>
        <v>330</v>
      </c>
      <c r="L3" s="4">
        <f>K3+Rosters!N96</f>
        <v>355</v>
      </c>
      <c r="M3" s="4">
        <f>L3+Rosters!O96</f>
        <v>405</v>
      </c>
      <c r="N3" s="4">
        <f>M3+Rosters!P96</f>
        <v>435</v>
      </c>
      <c r="O3" s="4">
        <f>N3+Rosters!Q96</f>
        <v>475</v>
      </c>
      <c r="P3" s="4">
        <f>O3+Rosters!R96</f>
        <v>490</v>
      </c>
      <c r="Q3" s="4">
        <f>P3+Rosters!S96</f>
        <v>675</v>
      </c>
      <c r="R3" s="4">
        <f>Q3+Rosters!T96</f>
        <v>745</v>
      </c>
      <c r="S3" s="4">
        <f>R3+Rosters!U96</f>
        <v>900</v>
      </c>
      <c r="T3" s="4">
        <f>S3+Rosters!V96</f>
        <v>950</v>
      </c>
      <c r="U3" s="4">
        <f>T3+Rosters!W96</f>
        <v>1030</v>
      </c>
      <c r="V3" s="4">
        <f>U3+Rosters!X96</f>
        <v>1205</v>
      </c>
      <c r="W3" s="4">
        <f>V3+Rosters!Y96</f>
        <v>1290</v>
      </c>
      <c r="X3" s="4">
        <f>W3+Rosters!Z96</f>
        <v>1445</v>
      </c>
      <c r="Y3" s="4">
        <f>X3+Rosters!AA96</f>
        <v>1555</v>
      </c>
      <c r="Z3" s="4">
        <f>Y3+Rosters!AB96</f>
        <v>1905</v>
      </c>
      <c r="AA3" s="4">
        <f>Z3+Rosters!AC96</f>
        <v>1945</v>
      </c>
      <c r="AB3" s="4">
        <f>AA3+Rosters!AD96</f>
        <v>1975</v>
      </c>
      <c r="AC3" s="4">
        <f>AB3+Rosters!AE96</f>
        <v>2005</v>
      </c>
      <c r="AD3" s="4">
        <f>AC3+Rosters!AF96</f>
        <v>2045</v>
      </c>
      <c r="AE3" s="4">
        <f>AD3+Rosters!AG96</f>
        <v>2160</v>
      </c>
      <c r="AF3" s="4">
        <f>AE3+Rosters!AH96</f>
        <v>2160</v>
      </c>
      <c r="AG3" s="4">
        <f>AF3+Rosters!AI96</f>
        <v>2195</v>
      </c>
      <c r="AH3" s="4">
        <f>AG3+Rosters!AJ96</f>
        <v>2290</v>
      </c>
      <c r="AI3" s="4">
        <f>AH3+Rosters!AK96</f>
        <v>2405</v>
      </c>
      <c r="AJ3" s="4">
        <f>AI3+Rosters!AL96</f>
        <v>2485</v>
      </c>
    </row>
    <row r="4" spans="1:36">
      <c r="A4" s="4" t="s">
        <v>8</v>
      </c>
      <c r="B4" s="4">
        <v>0</v>
      </c>
      <c r="C4" s="4">
        <f>B4+Rosters!E39</f>
        <v>170</v>
      </c>
      <c r="D4" s="4">
        <f>C4+Rosters!F39</f>
        <v>270</v>
      </c>
      <c r="E4" s="4">
        <f>D4+Rosters!G39</f>
        <v>385</v>
      </c>
      <c r="F4" s="4">
        <f>E4+Rosters!H39</f>
        <v>490</v>
      </c>
      <c r="G4" s="4">
        <f>F4+Rosters!I39</f>
        <v>565</v>
      </c>
      <c r="H4" s="4">
        <f>G4+Rosters!J39</f>
        <v>605</v>
      </c>
      <c r="I4" s="4">
        <f>H4+Rosters!K39</f>
        <v>775</v>
      </c>
      <c r="J4" s="4">
        <f>I4+Rosters!L39</f>
        <v>775</v>
      </c>
      <c r="K4" s="4">
        <f>J4+Rosters!M39</f>
        <v>840</v>
      </c>
      <c r="L4" s="4">
        <f>K4+Rosters!N39</f>
        <v>955</v>
      </c>
      <c r="M4" s="4">
        <f>L4+Rosters!O39</f>
        <v>1115</v>
      </c>
      <c r="N4" s="4">
        <f>M4+Rosters!P39</f>
        <v>1135</v>
      </c>
      <c r="O4" s="4">
        <f>N4+Rosters!Q39</f>
        <v>1160</v>
      </c>
      <c r="P4" s="4">
        <f>O4+Rosters!R39</f>
        <v>1220</v>
      </c>
      <c r="Q4" s="4">
        <f>P4+Rosters!S39</f>
        <v>1395</v>
      </c>
      <c r="R4" s="4">
        <f>Q4+Rosters!T39</f>
        <v>1490</v>
      </c>
      <c r="S4" s="4">
        <f>R4+Rosters!U39</f>
        <v>1510</v>
      </c>
      <c r="T4" s="4">
        <f>S4+Rosters!V39</f>
        <v>1545</v>
      </c>
      <c r="U4" s="4">
        <f>T4+Rosters!W39</f>
        <v>1740</v>
      </c>
      <c r="V4" s="4">
        <f>U4+Rosters!X39</f>
        <v>1850</v>
      </c>
      <c r="W4" s="4">
        <f>V4+Rosters!Y39</f>
        <v>1875</v>
      </c>
      <c r="X4" s="4">
        <f>W4+Rosters!Z39</f>
        <v>2050</v>
      </c>
      <c r="Y4" s="4">
        <f>X4+Rosters!AA39</f>
        <v>2055</v>
      </c>
      <c r="Z4" s="4">
        <f>Y4+Rosters!AB39</f>
        <v>2415</v>
      </c>
      <c r="AA4" s="4">
        <f>Z4+Rosters!AC39</f>
        <v>2495</v>
      </c>
      <c r="AB4" s="4">
        <f>AA4+Rosters!AD39</f>
        <v>2550</v>
      </c>
      <c r="AC4" s="4">
        <f>AB4+Rosters!AE39</f>
        <v>2570</v>
      </c>
      <c r="AD4" s="4">
        <f>AC4+Rosters!AF39</f>
        <v>2620</v>
      </c>
      <c r="AE4" s="4">
        <f>AD4+Rosters!AG39</f>
        <v>2815</v>
      </c>
      <c r="AF4" s="4">
        <f>AE4+Rosters!AH39</f>
        <v>2815</v>
      </c>
      <c r="AG4" s="4">
        <f>AF4+Rosters!AI39</f>
        <v>2880</v>
      </c>
      <c r="AH4" s="4">
        <f>AG4+Rosters!AJ39</f>
        <v>3020</v>
      </c>
      <c r="AI4" s="4">
        <f>AH4+Rosters!AK39</f>
        <v>3170</v>
      </c>
      <c r="AJ4" s="4">
        <f>AI4+Rosters!AL39</f>
        <v>3285</v>
      </c>
    </row>
    <row r="5" spans="1:36">
      <c r="A5" s="4" t="s">
        <v>11</v>
      </c>
      <c r="B5" s="4">
        <v>0</v>
      </c>
      <c r="C5" s="4">
        <f>B5+Rosters!E20</f>
        <v>40</v>
      </c>
      <c r="D5" s="4">
        <f>C5+Rosters!F20</f>
        <v>45</v>
      </c>
      <c r="E5" s="4">
        <f>D5+Rosters!G20</f>
        <v>75</v>
      </c>
      <c r="F5" s="4">
        <f>E5+Rosters!H20</f>
        <v>130</v>
      </c>
      <c r="G5" s="4">
        <f>F5+Rosters!I20</f>
        <v>330</v>
      </c>
      <c r="H5" s="4">
        <f>G5+Rosters!J20</f>
        <v>400</v>
      </c>
      <c r="I5" s="4">
        <f>H5+Rosters!K20</f>
        <v>460</v>
      </c>
      <c r="J5" s="4">
        <f>I5+Rosters!L20</f>
        <v>470</v>
      </c>
      <c r="K5" s="4">
        <f>J5+Rosters!M20</f>
        <v>535</v>
      </c>
      <c r="L5" s="4">
        <f>K5+Rosters!N20</f>
        <v>620</v>
      </c>
      <c r="M5" s="4">
        <f>L5+Rosters!O20</f>
        <v>845</v>
      </c>
      <c r="N5" s="4">
        <f>M5+Rosters!P20</f>
        <v>865</v>
      </c>
      <c r="O5" s="4">
        <f>N5+Rosters!Q20</f>
        <v>935</v>
      </c>
      <c r="P5" s="4">
        <f>O5+Rosters!R20</f>
        <v>940</v>
      </c>
      <c r="Q5" s="4">
        <f>P5+Rosters!S20</f>
        <v>1525</v>
      </c>
      <c r="R5" s="4">
        <f>Q5+Rosters!T20</f>
        <v>1610</v>
      </c>
      <c r="S5" s="4">
        <f>R5+Rosters!U20</f>
        <v>1715</v>
      </c>
      <c r="T5" s="4">
        <f>S5+Rosters!V20</f>
        <v>1785</v>
      </c>
      <c r="U5" s="4">
        <f>T5+Rosters!W20</f>
        <v>1960</v>
      </c>
      <c r="V5" s="4">
        <f>U5+Rosters!X20</f>
        <v>2080</v>
      </c>
      <c r="W5" s="4">
        <f>V5+Rosters!Y20</f>
        <v>2105</v>
      </c>
      <c r="X5" s="4">
        <f>W5+Rosters!Z20</f>
        <v>2140</v>
      </c>
      <c r="Y5" s="4">
        <f>X5+Rosters!AA20</f>
        <v>2165</v>
      </c>
      <c r="Z5" s="4">
        <f>Y5+Rosters!AB20</f>
        <v>2320</v>
      </c>
      <c r="AA5" s="4">
        <f>Z5+Rosters!AC20</f>
        <v>2380</v>
      </c>
      <c r="AB5" s="4">
        <f>AA5+Rosters!AD20</f>
        <v>2505</v>
      </c>
      <c r="AC5" s="4">
        <f>AB5+Rosters!AE20</f>
        <v>2560</v>
      </c>
      <c r="AD5" s="4">
        <f>AC5+Rosters!AF20</f>
        <v>2700</v>
      </c>
      <c r="AE5" s="4">
        <f>AD5+Rosters!AG20</f>
        <v>3215</v>
      </c>
      <c r="AF5" s="4">
        <f>AE5+Rosters!AH20</f>
        <v>3330</v>
      </c>
      <c r="AG5" s="4">
        <f>AF5+Rosters!AI20</f>
        <v>3355</v>
      </c>
      <c r="AH5" s="4">
        <f>AG5+Rosters!AJ20</f>
        <v>3365</v>
      </c>
      <c r="AI5" s="4">
        <f>AH5+Rosters!AK20</f>
        <v>3435</v>
      </c>
      <c r="AJ5" s="4">
        <f>AI5+Rosters!AL20</f>
        <v>3520</v>
      </c>
    </row>
    <row r="6" spans="1:36">
      <c r="A6" s="4" t="s">
        <v>1968</v>
      </c>
      <c r="B6" s="4">
        <v>0</v>
      </c>
      <c r="C6" s="4">
        <f>B6+Rosters!E172</f>
        <v>150</v>
      </c>
      <c r="D6" s="4">
        <f>C6+Rosters!F172</f>
        <v>210</v>
      </c>
      <c r="E6" s="4">
        <f>D6+Rosters!G172</f>
        <v>225</v>
      </c>
      <c r="F6" s="4">
        <f>E6+Rosters!H172</f>
        <v>260</v>
      </c>
      <c r="G6" s="4">
        <f>F6+Rosters!I172</f>
        <v>295</v>
      </c>
      <c r="H6" s="4">
        <f>G6+Rosters!J172</f>
        <v>380</v>
      </c>
      <c r="I6" s="4">
        <f>H6+Rosters!K172</f>
        <v>585</v>
      </c>
      <c r="J6" s="4">
        <f>I6+Rosters!L172</f>
        <v>610</v>
      </c>
      <c r="K6" s="4">
        <f>J6+Rosters!M172</f>
        <v>625</v>
      </c>
      <c r="L6" s="4">
        <f>K6+Rosters!N172</f>
        <v>695</v>
      </c>
      <c r="M6" s="4">
        <f>L6+Rosters!O172</f>
        <v>745</v>
      </c>
      <c r="N6" s="4">
        <f>M6+Rosters!P172</f>
        <v>790</v>
      </c>
      <c r="O6" s="4">
        <f>N6+Rosters!Q172</f>
        <v>830</v>
      </c>
      <c r="P6" s="4">
        <f>O6+Rosters!R172</f>
        <v>890</v>
      </c>
      <c r="Q6" s="4">
        <f>P6+Rosters!S172</f>
        <v>1010</v>
      </c>
      <c r="R6" s="4">
        <f>Q6+Rosters!T172</f>
        <v>1020</v>
      </c>
      <c r="S6" s="4">
        <f>R6+Rosters!U172</f>
        <v>1025</v>
      </c>
      <c r="T6" s="4">
        <f>S6+Rosters!V172</f>
        <v>1030</v>
      </c>
      <c r="U6" s="4">
        <f>T6+Rosters!W172</f>
        <v>1070</v>
      </c>
      <c r="V6" s="4">
        <f>U6+Rosters!X172</f>
        <v>1110</v>
      </c>
      <c r="W6" s="4">
        <f>V6+Rosters!Y172</f>
        <v>1155</v>
      </c>
      <c r="X6" s="4">
        <f>W6+Rosters!Z172</f>
        <v>1205</v>
      </c>
      <c r="Y6" s="4">
        <f>X6+Rosters!AA172</f>
        <v>1240</v>
      </c>
      <c r="Z6" s="4">
        <f>Y6+Rosters!AB172</f>
        <v>1275</v>
      </c>
      <c r="AA6" s="4">
        <f>Z6+Rosters!AC172</f>
        <v>1315</v>
      </c>
      <c r="AB6" s="4">
        <f>AA6+Rosters!AD172</f>
        <v>1405</v>
      </c>
      <c r="AC6" s="4">
        <f>AB6+Rosters!AE172</f>
        <v>1430</v>
      </c>
      <c r="AD6" s="4">
        <f>AC6+Rosters!AF172</f>
        <v>1485</v>
      </c>
      <c r="AE6" s="4">
        <f>AD6+Rosters!AG172</f>
        <v>1575</v>
      </c>
      <c r="AF6" s="4">
        <f>AE6+Rosters!AH172</f>
        <v>1585</v>
      </c>
      <c r="AG6" s="4">
        <f>AF6+Rosters!AI172</f>
        <v>1620</v>
      </c>
      <c r="AH6" s="4">
        <f>AG6+Rosters!AJ172</f>
        <v>1695</v>
      </c>
      <c r="AI6" s="4">
        <f>AH6+Rosters!AK172</f>
        <v>1835</v>
      </c>
      <c r="AJ6" s="4">
        <f>AI6+Rosters!AL172</f>
        <v>1925</v>
      </c>
    </row>
    <row r="7" spans="1:36">
      <c r="A7" s="4" t="s">
        <v>14</v>
      </c>
      <c r="B7" s="4">
        <v>0</v>
      </c>
      <c r="C7" s="4">
        <f>B7+Rosters!E115</f>
        <v>200</v>
      </c>
      <c r="D7" s="4">
        <f>C7+Rosters!F115</f>
        <v>230</v>
      </c>
      <c r="E7" s="4">
        <f>D7+Rosters!G115</f>
        <v>280</v>
      </c>
      <c r="F7" s="4">
        <f>E7+Rosters!H115</f>
        <v>310</v>
      </c>
      <c r="G7" s="4">
        <f>F7+Rosters!I115</f>
        <v>400</v>
      </c>
      <c r="H7" s="4">
        <f>G7+Rosters!J115</f>
        <v>425</v>
      </c>
      <c r="I7" s="4">
        <f>H7+Rosters!K115</f>
        <v>485</v>
      </c>
      <c r="J7" s="4">
        <f>I7+Rosters!L115</f>
        <v>495</v>
      </c>
      <c r="K7" s="4">
        <f>J7+Rosters!M115</f>
        <v>560</v>
      </c>
      <c r="L7" s="4">
        <f>K7+Rosters!N115</f>
        <v>670</v>
      </c>
      <c r="M7" s="4">
        <f>L7+Rosters!O115</f>
        <v>700</v>
      </c>
      <c r="N7" s="4">
        <f>M7+Rosters!P115</f>
        <v>710</v>
      </c>
      <c r="O7" s="4">
        <f>N7+Rosters!Q115</f>
        <v>800</v>
      </c>
      <c r="P7" s="4">
        <f>O7+Rosters!R115</f>
        <v>815</v>
      </c>
      <c r="Q7" s="4">
        <f>P7+Rosters!S115</f>
        <v>1070</v>
      </c>
      <c r="R7" s="4">
        <f>Q7+Rosters!T115</f>
        <v>1090</v>
      </c>
      <c r="S7" s="4">
        <f>R7+Rosters!U115</f>
        <v>1090</v>
      </c>
      <c r="T7" s="4">
        <f>S7+Rosters!V115</f>
        <v>1120</v>
      </c>
      <c r="U7" s="4">
        <f>T7+Rosters!W115</f>
        <v>1175</v>
      </c>
      <c r="V7" s="4">
        <f>U7+Rosters!X115</f>
        <v>1315</v>
      </c>
      <c r="W7" s="4">
        <f>V7+Rosters!Y115</f>
        <v>1330</v>
      </c>
      <c r="X7" s="4">
        <f>W7+Rosters!Z115</f>
        <v>1440</v>
      </c>
      <c r="Y7" s="4">
        <f>X7+Rosters!AA115</f>
        <v>1475</v>
      </c>
      <c r="Z7" s="4">
        <f>Y7+Rosters!AB115</f>
        <v>1585</v>
      </c>
      <c r="AA7" s="4">
        <f>Z7+Rosters!AC115</f>
        <v>1770</v>
      </c>
      <c r="AB7" s="4">
        <f>AA7+Rosters!AD115</f>
        <v>1825</v>
      </c>
      <c r="AC7" s="4">
        <f>AB7+Rosters!AE115</f>
        <v>1840</v>
      </c>
      <c r="AD7" s="4">
        <f>AC7+Rosters!AF115</f>
        <v>1880</v>
      </c>
      <c r="AE7" s="4">
        <f>AD7+Rosters!AG115</f>
        <v>1975</v>
      </c>
      <c r="AF7" s="4">
        <f>AE7+Rosters!AH115</f>
        <v>1990</v>
      </c>
      <c r="AG7" s="4">
        <f>AF7+Rosters!AI115</f>
        <v>2015</v>
      </c>
      <c r="AH7" s="4">
        <f>AG7+Rosters!AJ115</f>
        <v>2230</v>
      </c>
      <c r="AI7" s="4">
        <f>AH7+Rosters!AK115</f>
        <v>2320</v>
      </c>
      <c r="AJ7" s="4">
        <f>AI7+Rosters!AL115</f>
        <v>2425</v>
      </c>
    </row>
    <row r="8" spans="1:36">
      <c r="A8" s="4" t="s">
        <v>10</v>
      </c>
      <c r="B8" s="4">
        <v>0</v>
      </c>
      <c r="C8" s="4">
        <f>B8+Rosters!E153</f>
        <v>80</v>
      </c>
      <c r="D8" s="4">
        <f>C8+Rosters!F153</f>
        <v>95</v>
      </c>
      <c r="E8" s="4">
        <f>D8+Rosters!G153</f>
        <v>130</v>
      </c>
      <c r="F8" s="4">
        <f>E8+Rosters!H153</f>
        <v>135</v>
      </c>
      <c r="G8" s="4">
        <f>F8+Rosters!I153</f>
        <v>195</v>
      </c>
      <c r="H8" s="4">
        <f>G8+Rosters!J153</f>
        <v>260</v>
      </c>
      <c r="I8" s="4">
        <f>H8+Rosters!K153</f>
        <v>270</v>
      </c>
      <c r="J8" s="4">
        <f>I8+Rosters!L153</f>
        <v>280</v>
      </c>
      <c r="K8" s="4">
        <f>J8+Rosters!M153</f>
        <v>305</v>
      </c>
      <c r="L8" s="4">
        <f>K8+Rosters!N153</f>
        <v>310</v>
      </c>
      <c r="M8" s="4">
        <f>L8+Rosters!O153</f>
        <v>320</v>
      </c>
      <c r="N8" s="4">
        <f>M8+Rosters!P153</f>
        <v>405</v>
      </c>
      <c r="O8" s="4">
        <f>N8+Rosters!Q153</f>
        <v>410</v>
      </c>
      <c r="P8" s="4">
        <f>O8+Rosters!R153</f>
        <v>430</v>
      </c>
      <c r="Q8" s="4">
        <f>P8+Rosters!S153</f>
        <v>625</v>
      </c>
      <c r="R8" s="4">
        <f>Q8+Rosters!T153</f>
        <v>670</v>
      </c>
      <c r="S8" s="4">
        <f>R8+Rosters!U153</f>
        <v>690</v>
      </c>
      <c r="T8" s="4">
        <f>S8+Rosters!V153</f>
        <v>720</v>
      </c>
      <c r="U8" s="4">
        <f>T8+Rosters!W153</f>
        <v>780</v>
      </c>
      <c r="V8" s="4">
        <f>U8+Rosters!X153</f>
        <v>910</v>
      </c>
      <c r="W8" s="4">
        <f>V8+Rosters!Y153</f>
        <v>910</v>
      </c>
      <c r="X8" s="4">
        <f>W8+Rosters!Z153</f>
        <v>950</v>
      </c>
      <c r="Y8" s="4">
        <f>X8+Rosters!AA153</f>
        <v>1085</v>
      </c>
      <c r="Z8" s="4">
        <f>Y8+Rosters!AB153</f>
        <v>1465</v>
      </c>
      <c r="AA8" s="4">
        <f>Z8+Rosters!AC153</f>
        <v>1470</v>
      </c>
      <c r="AB8" s="4">
        <f>AA8+Rosters!AD153</f>
        <v>1505</v>
      </c>
      <c r="AC8" s="4">
        <f>AB8+Rosters!AE153</f>
        <v>1560</v>
      </c>
      <c r="AD8" s="4">
        <f>AC8+Rosters!AF153</f>
        <v>1600</v>
      </c>
      <c r="AE8" s="4">
        <f>AD8+Rosters!AG153</f>
        <v>1600</v>
      </c>
      <c r="AF8" s="4">
        <f>AE8+Rosters!AH153</f>
        <v>1625</v>
      </c>
      <c r="AG8" s="4">
        <f>AF8+Rosters!AI153</f>
        <v>1730</v>
      </c>
      <c r="AH8" s="4">
        <f>AG8+Rosters!AJ153</f>
        <v>1800</v>
      </c>
      <c r="AI8" s="4">
        <f>AH8+Rosters!AK153</f>
        <v>1910</v>
      </c>
      <c r="AJ8" s="4">
        <f>AI8+Rosters!AL153</f>
        <v>2000</v>
      </c>
    </row>
    <row r="9" spans="1:36">
      <c r="A9" s="4" t="s">
        <v>12</v>
      </c>
      <c r="B9" s="4">
        <v>0</v>
      </c>
      <c r="C9" s="4">
        <f>B9+Rosters!E191</f>
        <v>50</v>
      </c>
      <c r="D9" s="4">
        <f>C9+Rosters!F191</f>
        <v>70</v>
      </c>
      <c r="E9" s="4">
        <f>D9+Rosters!G191</f>
        <v>140</v>
      </c>
      <c r="F9" s="4">
        <f>E9+Rosters!H191</f>
        <v>140</v>
      </c>
      <c r="G9" s="4">
        <f>F9+Rosters!I191</f>
        <v>200</v>
      </c>
      <c r="H9" s="4">
        <f>G9+Rosters!J191</f>
        <v>225</v>
      </c>
      <c r="I9" s="4">
        <f>H9+Rosters!K191</f>
        <v>305</v>
      </c>
      <c r="J9" s="4">
        <f>I9+Rosters!L191</f>
        <v>345</v>
      </c>
      <c r="K9" s="4">
        <f>J9+Rosters!M191</f>
        <v>390</v>
      </c>
      <c r="L9" s="4">
        <f>K9+Rosters!N191</f>
        <v>415</v>
      </c>
      <c r="M9" s="4">
        <f>L9+Rosters!O191</f>
        <v>465</v>
      </c>
      <c r="N9" s="4">
        <f>M9+Rosters!P191</f>
        <v>535</v>
      </c>
      <c r="O9" s="4">
        <f>N9+Rosters!Q191</f>
        <v>540</v>
      </c>
      <c r="P9" s="4">
        <f>O9+Rosters!R191</f>
        <v>650</v>
      </c>
      <c r="Q9" s="4">
        <f>P9+Rosters!S191</f>
        <v>695</v>
      </c>
      <c r="R9" s="4">
        <f>Q9+Rosters!T191</f>
        <v>800</v>
      </c>
      <c r="S9" s="4">
        <f>R9+Rosters!U191</f>
        <v>885</v>
      </c>
      <c r="T9" s="4">
        <f>S9+Rosters!V191</f>
        <v>930</v>
      </c>
      <c r="U9" s="4">
        <f>T9+Rosters!W191</f>
        <v>1015</v>
      </c>
      <c r="V9" s="4">
        <f>U9+Rosters!X191</f>
        <v>1125</v>
      </c>
      <c r="W9" s="4">
        <f>V9+Rosters!Y191</f>
        <v>1165</v>
      </c>
      <c r="X9" s="4">
        <f>W9+Rosters!Z191</f>
        <v>1195</v>
      </c>
      <c r="Y9" s="4">
        <f>X9+Rosters!AA191</f>
        <v>1200</v>
      </c>
      <c r="Z9" s="4">
        <f>Y9+Rosters!AB191</f>
        <v>1215</v>
      </c>
      <c r="AA9" s="4">
        <f>Z9+Rosters!AC191</f>
        <v>1280</v>
      </c>
      <c r="AB9" s="4">
        <f>AA9+Rosters!AD191</f>
        <v>1295</v>
      </c>
      <c r="AC9" s="4">
        <f>AB9+Rosters!AE191</f>
        <v>1345</v>
      </c>
      <c r="AD9" s="4">
        <f>AC9+Rosters!AF191</f>
        <v>1400</v>
      </c>
      <c r="AE9" s="4">
        <f>AD9+Rosters!AG191</f>
        <v>1500</v>
      </c>
      <c r="AF9" s="4">
        <f>AE9+Rosters!AH191</f>
        <v>1545</v>
      </c>
      <c r="AG9" s="4">
        <f>AF9+Rosters!AI191</f>
        <v>1565</v>
      </c>
      <c r="AH9" s="4">
        <f>AG9+Rosters!AJ191</f>
        <v>1635</v>
      </c>
      <c r="AI9" s="4">
        <f>AH9+Rosters!AK191</f>
        <v>1670</v>
      </c>
      <c r="AJ9" s="4">
        <f>AI9+Rosters!AL191</f>
        <v>1820</v>
      </c>
    </row>
    <row r="10" spans="1:36">
      <c r="A10" s="4" t="s">
        <v>13</v>
      </c>
      <c r="B10" s="4">
        <v>0</v>
      </c>
      <c r="C10" s="4">
        <f>B10+Rosters!E77</f>
        <v>40</v>
      </c>
      <c r="D10" s="4">
        <f>C10+Rosters!F77</f>
        <v>120</v>
      </c>
      <c r="E10" s="4">
        <f>D10+Rosters!G77</f>
        <v>170</v>
      </c>
      <c r="F10" s="4">
        <f>E10+Rosters!H77</f>
        <v>245</v>
      </c>
      <c r="G10" s="4">
        <f>F10+Rosters!I77</f>
        <v>335</v>
      </c>
      <c r="H10" s="4">
        <f>G10+Rosters!J77</f>
        <v>385</v>
      </c>
      <c r="I10" s="4">
        <f>H10+Rosters!K77</f>
        <v>505</v>
      </c>
      <c r="J10" s="4">
        <f>I10+Rosters!L77</f>
        <v>505</v>
      </c>
      <c r="K10" s="4">
        <f>J10+Rosters!M77</f>
        <v>535</v>
      </c>
      <c r="L10" s="4">
        <f>K10+Rosters!N77</f>
        <v>690</v>
      </c>
      <c r="M10" s="4">
        <f>L10+Rosters!O77</f>
        <v>750</v>
      </c>
      <c r="N10" s="4">
        <f>M10+Rosters!P77</f>
        <v>830</v>
      </c>
      <c r="O10" s="4">
        <f>N10+Rosters!Q77</f>
        <v>890</v>
      </c>
      <c r="P10" s="4">
        <f>O10+Rosters!R77</f>
        <v>930</v>
      </c>
      <c r="Q10" s="4">
        <f>P10+Rosters!S77</f>
        <v>980</v>
      </c>
      <c r="R10" s="4">
        <f>Q10+Rosters!T77</f>
        <v>1240</v>
      </c>
      <c r="S10" s="4">
        <f>R10+Rosters!U77</f>
        <v>1315</v>
      </c>
      <c r="T10" s="4">
        <f>S10+Rosters!V77</f>
        <v>1340</v>
      </c>
      <c r="U10" s="4">
        <f>T10+Rosters!W77</f>
        <v>1525</v>
      </c>
      <c r="V10" s="4">
        <f>U10+Rosters!X77</f>
        <v>1635</v>
      </c>
      <c r="W10" s="4">
        <f>V10+Rosters!Y77</f>
        <v>1700</v>
      </c>
      <c r="X10" s="4">
        <f>W10+Rosters!Z77</f>
        <v>1805</v>
      </c>
      <c r="Y10" s="4">
        <f>X10+Rosters!AA77</f>
        <v>1840</v>
      </c>
      <c r="Z10" s="4">
        <f>Y10+Rosters!AB77</f>
        <v>1970</v>
      </c>
      <c r="AA10" s="4">
        <f>Z10+Rosters!AC77</f>
        <v>2155</v>
      </c>
      <c r="AB10" s="4">
        <f>AA10+Rosters!AD77</f>
        <v>2160</v>
      </c>
      <c r="AC10" s="4">
        <f>AB10+Rosters!AE77</f>
        <v>2170</v>
      </c>
      <c r="AD10" s="4">
        <f>AC10+Rosters!AF77</f>
        <v>2225</v>
      </c>
      <c r="AE10" s="4">
        <f>AD10+Rosters!AG77</f>
        <v>2335</v>
      </c>
      <c r="AF10" s="4">
        <f>AE10+Rosters!AH77</f>
        <v>2350</v>
      </c>
      <c r="AG10" s="4">
        <f>AF10+Rosters!AI77</f>
        <v>2350</v>
      </c>
      <c r="AH10" s="4">
        <f>AG10+Rosters!AJ77</f>
        <v>2495</v>
      </c>
      <c r="AI10" s="4">
        <f>AH10+Rosters!AK77</f>
        <v>2635</v>
      </c>
      <c r="AJ10" s="4">
        <f>AI10+Rosters!AL77</f>
        <v>3080</v>
      </c>
    </row>
    <row r="11" spans="1:36">
      <c r="A11" s="4" t="s">
        <v>9</v>
      </c>
      <c r="B11" s="4">
        <v>0</v>
      </c>
      <c r="C11" s="4">
        <f>B11+Rosters!E134</f>
        <v>85</v>
      </c>
      <c r="D11" s="4">
        <f>C11+Rosters!F134</f>
        <v>125</v>
      </c>
      <c r="E11" s="4">
        <f>D11+Rosters!G134</f>
        <v>150</v>
      </c>
      <c r="F11" s="4">
        <f>E11+Rosters!H134</f>
        <v>210</v>
      </c>
      <c r="G11" s="4">
        <f>F11+Rosters!I134</f>
        <v>235</v>
      </c>
      <c r="H11" s="4">
        <f>G11+Rosters!J134</f>
        <v>275</v>
      </c>
      <c r="I11" s="4">
        <f>H11+Rosters!K134</f>
        <v>405</v>
      </c>
      <c r="J11" s="4">
        <f>I11+Rosters!L134</f>
        <v>505</v>
      </c>
      <c r="K11" s="4">
        <f>J11+Rosters!M134</f>
        <v>550</v>
      </c>
      <c r="L11" s="4">
        <f>K11+Rosters!N134</f>
        <v>590</v>
      </c>
      <c r="M11" s="4">
        <f>L11+Rosters!O134</f>
        <v>705</v>
      </c>
      <c r="N11" s="4">
        <f>M11+Rosters!P134</f>
        <v>715</v>
      </c>
      <c r="O11" s="4">
        <f>N11+Rosters!Q134</f>
        <v>740</v>
      </c>
      <c r="P11" s="4">
        <f>O11+Rosters!R134</f>
        <v>760</v>
      </c>
      <c r="Q11" s="4">
        <f>P11+Rosters!S134</f>
        <v>1030</v>
      </c>
      <c r="R11" s="4">
        <f>Q11+Rosters!T134</f>
        <v>1075</v>
      </c>
      <c r="S11" s="4">
        <f>R11+Rosters!U134</f>
        <v>1090</v>
      </c>
      <c r="T11" s="4">
        <f>S11+Rosters!V134</f>
        <v>1140</v>
      </c>
      <c r="U11" s="4">
        <f>T11+Rosters!W134</f>
        <v>1230</v>
      </c>
      <c r="V11" s="4">
        <f>U11+Rosters!X134</f>
        <v>1550</v>
      </c>
      <c r="W11" s="4">
        <f>V11+Rosters!Y134</f>
        <v>1575</v>
      </c>
      <c r="X11" s="4">
        <f>W11+Rosters!Z134</f>
        <v>1655</v>
      </c>
      <c r="Y11" s="4">
        <f>X11+Rosters!AA134</f>
        <v>1655</v>
      </c>
      <c r="Z11" s="4">
        <f>Y11+Rosters!AB134</f>
        <v>1690</v>
      </c>
      <c r="AA11" s="4">
        <f>Z11+Rosters!AC134</f>
        <v>1705</v>
      </c>
      <c r="AB11" s="4">
        <f>AA11+Rosters!AD134</f>
        <v>1710</v>
      </c>
      <c r="AC11" s="4">
        <f>AB11+Rosters!AE134</f>
        <v>1715</v>
      </c>
      <c r="AD11" s="4">
        <f>AC11+Rosters!AF134</f>
        <v>1720</v>
      </c>
      <c r="AE11" s="4">
        <f>AD11+Rosters!AG134</f>
        <v>1840</v>
      </c>
      <c r="AF11" s="4">
        <f>AE11+Rosters!AH134</f>
        <v>1890</v>
      </c>
      <c r="AG11" s="4">
        <f>AF11+Rosters!AI134</f>
        <v>1985</v>
      </c>
      <c r="AH11" s="4">
        <f>AG11+Rosters!AJ134</f>
        <v>2115</v>
      </c>
      <c r="AI11" s="4">
        <f>AH11+Rosters!AK134</f>
        <v>2145</v>
      </c>
      <c r="AJ11" s="4">
        <f>AI11+Rosters!AL134</f>
        <v>2185</v>
      </c>
    </row>
    <row r="66" spans="27:27">
      <c r="AA66" s="122"/>
    </row>
  </sheetData>
  <pageMargins left="0.7" right="0.7" top="0.75" bottom="0.75" header="0.3" footer="0.3"/>
  <pageSetup orientation="portrait" horizontalDpi="204" verticalDpi="196" r:id="rId1"/>
  <customProperties>
    <customPr name="Epm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U38"/>
  <sheetViews>
    <sheetView zoomScaleNormal="100" workbookViewId="0">
      <selection activeCell="S5" sqref="S5"/>
    </sheetView>
  </sheetViews>
  <sheetFormatPr defaultColWidth="9.140625" defaultRowHeight="15"/>
  <cols>
    <col min="1" max="1" width="0.7109375" style="6" customWidth="1"/>
    <col min="2" max="3" width="13.85546875" style="6" customWidth="1"/>
    <col min="4" max="4" width="24.7109375" style="6" customWidth="1"/>
    <col min="5" max="6" width="14.7109375" style="6" customWidth="1"/>
    <col min="7" max="9" width="15.7109375" style="6" customWidth="1"/>
    <col min="10" max="10" width="17.7109375" customWidth="1"/>
    <col min="11" max="11" width="12.28515625" style="6" customWidth="1"/>
    <col min="12" max="12" width="0.5703125" style="6" customWidth="1"/>
    <col min="13" max="13" width="14.7109375" style="6" customWidth="1"/>
    <col min="14" max="14" width="0.5703125" style="6" customWidth="1"/>
    <col min="15" max="16384" width="9.140625" style="6"/>
  </cols>
  <sheetData>
    <row r="1" spans="1:21" ht="3.7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21" ht="56.25" customHeight="1" thickBot="1">
      <c r="A2" s="5"/>
      <c r="B2" s="586" t="s">
        <v>2200</v>
      </c>
      <c r="C2" s="587"/>
      <c r="D2" s="587"/>
      <c r="E2" s="587"/>
      <c r="F2" s="587"/>
      <c r="G2" s="587"/>
      <c r="H2" s="587"/>
      <c r="I2" s="587"/>
      <c r="J2" s="587"/>
      <c r="K2" s="587"/>
      <c r="L2" s="5"/>
    </row>
    <row r="3" spans="1:21" ht="44.25" customHeight="1" thickBot="1">
      <c r="A3" s="5"/>
      <c r="B3" s="201" t="s">
        <v>0</v>
      </c>
      <c r="C3" s="202" t="s">
        <v>1</v>
      </c>
      <c r="D3" s="202" t="s">
        <v>2</v>
      </c>
      <c r="E3" s="202" t="s">
        <v>3</v>
      </c>
      <c r="F3" s="202" t="s">
        <v>4</v>
      </c>
      <c r="G3" s="202" t="s">
        <v>5</v>
      </c>
      <c r="H3" s="203" t="s">
        <v>6</v>
      </c>
      <c r="I3" s="202" t="s">
        <v>1964</v>
      </c>
      <c r="J3" s="203" t="s">
        <v>1963</v>
      </c>
      <c r="K3" s="204" t="s">
        <v>116</v>
      </c>
      <c r="L3" s="5"/>
    </row>
    <row r="4" spans="1:21" ht="24.75" customHeight="1">
      <c r="A4" s="5"/>
      <c r="B4" s="514">
        <v>1</v>
      </c>
      <c r="C4" s="516" t="s">
        <v>7</v>
      </c>
      <c r="D4" s="518" t="s">
        <v>11</v>
      </c>
      <c r="E4" s="520">
        <f>Rosters!AO20</f>
        <v>3520</v>
      </c>
      <c r="F4" s="520">
        <f>INDEX(Rosters!E20:AL20,0,U17)</f>
        <v>85</v>
      </c>
      <c r="G4" s="520">
        <f>Rosters!AO18</f>
        <v>3</v>
      </c>
      <c r="H4" s="520">
        <f>SUM(Rosters!S18,Rosters!X18,Rosters!AB18,Rosters!AG18)</f>
        <v>1</v>
      </c>
      <c r="I4" s="520">
        <f>Rosters!AO19</f>
        <v>38</v>
      </c>
      <c r="J4" s="522">
        <f>SUM(Rosters!S19,Rosters!X19,Rosters!AB19,Rosters!AG19)</f>
        <v>7</v>
      </c>
      <c r="K4" s="235">
        <v>1</v>
      </c>
      <c r="L4" s="5"/>
    </row>
    <row r="5" spans="1:21" ht="24.75" customHeight="1">
      <c r="A5" s="5">
        <v>0</v>
      </c>
      <c r="B5" s="515">
        <v>2</v>
      </c>
      <c r="C5" s="517" t="s">
        <v>7</v>
      </c>
      <c r="D5" s="519" t="s">
        <v>8</v>
      </c>
      <c r="E5" s="521">
        <f>Rosters!AO39</f>
        <v>3285</v>
      </c>
      <c r="F5" s="521">
        <f>INDEX(Rosters!E39:AL39,0,U23)</f>
        <v>115</v>
      </c>
      <c r="G5" s="198">
        <f>Rosters!AO37</f>
        <v>4</v>
      </c>
      <c r="H5" s="198">
        <f>SUM(Rosters!S37,Rosters!X37,Rosters!AB37,Rosters!AG37)</f>
        <v>1</v>
      </c>
      <c r="I5" s="521">
        <f>Rosters!AO38</f>
        <v>35</v>
      </c>
      <c r="J5" s="523">
        <f>SUM(Rosters!S38,Rosters!X38,Rosters!AB38,Rosters!AG38)</f>
        <v>4</v>
      </c>
      <c r="K5" s="198">
        <v>1</v>
      </c>
      <c r="L5" s="5"/>
    </row>
    <row r="6" spans="1:21" ht="24.75" customHeight="1">
      <c r="A6" s="5"/>
      <c r="B6" s="525">
        <v>3</v>
      </c>
      <c r="C6" s="529" t="s">
        <v>7</v>
      </c>
      <c r="D6" s="477" t="s">
        <v>1969</v>
      </c>
      <c r="E6" s="527">
        <f>Rosters!AO58</f>
        <v>3195</v>
      </c>
      <c r="F6" s="527">
        <f>INDEX(Rosters!E58:AL58,0,U17)</f>
        <v>105</v>
      </c>
      <c r="G6" s="528">
        <f>Rosters!AO56</f>
        <v>6</v>
      </c>
      <c r="H6" s="528">
        <f>SUM(Rosters!S56,Rosters!X56,Rosters!AB56,Rosters!AG56)</f>
        <v>2</v>
      </c>
      <c r="I6" s="527">
        <f>Rosters!AO57</f>
        <v>33</v>
      </c>
      <c r="J6" s="478">
        <f>SUM(Rosters!S57,Rosters!X57,Rosters!AB57,Rosters!AG57)</f>
        <v>7</v>
      </c>
      <c r="K6" s="196">
        <v>0</v>
      </c>
      <c r="L6" s="5"/>
    </row>
    <row r="7" spans="1:21" ht="24.75" customHeight="1">
      <c r="A7" s="5"/>
      <c r="B7" s="526">
        <v>4</v>
      </c>
      <c r="C7" s="530" t="s">
        <v>7</v>
      </c>
      <c r="D7" s="468" t="s">
        <v>13</v>
      </c>
      <c r="E7" s="197">
        <f>Rosters!AO77</f>
        <v>3080</v>
      </c>
      <c r="F7" s="197">
        <f>INDEX(Rosters!E77:AL77,0,U19)</f>
        <v>445</v>
      </c>
      <c r="G7" s="197">
        <f>Rosters!AO75</f>
        <v>4</v>
      </c>
      <c r="H7" s="197">
        <f>SUM(Rosters!S75,Rosters!X75,Rosters!AB75,Rosters!AG75)</f>
        <v>0</v>
      </c>
      <c r="I7" s="197">
        <f>Rosters!AO76</f>
        <v>41</v>
      </c>
      <c r="J7" s="197">
        <f>SUM(Rosters!S76,Rosters!X76,Rosters!AB76,Rosters!AG76)</f>
        <v>3</v>
      </c>
      <c r="K7" s="197">
        <v>2</v>
      </c>
      <c r="L7" s="5"/>
    </row>
    <row r="8" spans="1:21" ht="24.75" customHeight="1">
      <c r="A8" s="5"/>
      <c r="B8" s="480">
        <v>5</v>
      </c>
      <c r="C8" s="509" t="s">
        <v>7</v>
      </c>
      <c r="D8" s="481" t="s">
        <v>104</v>
      </c>
      <c r="E8" s="482">
        <f>Rosters!AO96</f>
        <v>2485</v>
      </c>
      <c r="F8" s="482">
        <f>INDEX(Rosters!E96:AL96,0,U24)</f>
        <v>80</v>
      </c>
      <c r="G8" s="247">
        <f>Rosters!AO94</f>
        <v>2</v>
      </c>
      <c r="H8" s="247">
        <f>SUM(Rosters!S94,Rosters!X94,Rosters!AB94,Rosters!AG94)</f>
        <v>0</v>
      </c>
      <c r="I8" s="482">
        <f>Rosters!AO95</f>
        <v>27</v>
      </c>
      <c r="J8" s="483">
        <f>SUM(Rosters!S95,Rosters!X95,Rosters!AB95,Rosters!AG95)</f>
        <v>7</v>
      </c>
      <c r="K8" s="247">
        <v>1</v>
      </c>
      <c r="L8" s="5"/>
    </row>
    <row r="9" spans="1:21" ht="24.75" customHeight="1">
      <c r="A9" s="5"/>
      <c r="B9" s="499">
        <v>6</v>
      </c>
      <c r="C9" s="501" t="s">
        <v>7</v>
      </c>
      <c r="D9" s="502" t="s">
        <v>14</v>
      </c>
      <c r="E9" s="504">
        <f>Rosters!AO115</f>
        <v>2425</v>
      </c>
      <c r="F9" s="504">
        <f>INDEX(Rosters!E115:AL115,0,U20)</f>
        <v>105</v>
      </c>
      <c r="G9" s="199">
        <f>Rosters!AO113</f>
        <v>4</v>
      </c>
      <c r="H9" s="199">
        <f>SUM(Rosters!S113,Rosters!X113,Rosters!AB113,Rosters!AG113)</f>
        <v>0</v>
      </c>
      <c r="I9" s="504">
        <f>Rosters!AO114</f>
        <v>25</v>
      </c>
      <c r="J9" s="507">
        <f>SUM(Rosters!S114,Rosters!X114,Rosters!AB114,Rosters!AG114)</f>
        <v>4</v>
      </c>
      <c r="K9" s="199">
        <v>1</v>
      </c>
      <c r="L9" s="5"/>
    </row>
    <row r="10" spans="1:21" ht="24.75" customHeight="1">
      <c r="A10" s="5"/>
      <c r="B10" s="500">
        <v>7</v>
      </c>
      <c r="C10" s="510" t="s">
        <v>7</v>
      </c>
      <c r="D10" s="503" t="s">
        <v>9</v>
      </c>
      <c r="E10" s="505">
        <f>Rosters!AO134</f>
        <v>2185</v>
      </c>
      <c r="F10" s="505">
        <f>INDEX(Rosters!E134:AL134,0,U26)</f>
        <v>40</v>
      </c>
      <c r="G10" s="506">
        <f>Rosters!AO132</f>
        <v>0</v>
      </c>
      <c r="H10" s="506">
        <f>SUM(Rosters!S132,Rosters!X132,Rosters!AB132,Rosters!AG132)</f>
        <v>0</v>
      </c>
      <c r="I10" s="505">
        <f>Rosters!AO133</f>
        <v>25</v>
      </c>
      <c r="J10" s="508">
        <f>SUM(Rosters!S133,Rosters!X133,Rosters!AB133,Rosters!AG133)</f>
        <v>4</v>
      </c>
      <c r="K10" s="246">
        <v>1</v>
      </c>
      <c r="L10" s="5"/>
    </row>
    <row r="11" spans="1:21" ht="24.75" customHeight="1">
      <c r="A11" s="5"/>
      <c r="B11" s="470">
        <v>8</v>
      </c>
      <c r="C11" s="511" t="s">
        <v>7</v>
      </c>
      <c r="D11" s="471" t="s">
        <v>10</v>
      </c>
      <c r="E11" s="326">
        <f>Rosters!AO153</f>
        <v>2000</v>
      </c>
      <c r="F11" s="326">
        <f>INDEX(Rosters!E153:AL153,0,U28)</f>
        <v>90</v>
      </c>
      <c r="G11" s="326">
        <f>Rosters!AO151</f>
        <v>2</v>
      </c>
      <c r="H11" s="326">
        <f>SUM(Rosters!S151,Rosters!X151,Rosters!AB151,Rosters!AG151)</f>
        <v>0</v>
      </c>
      <c r="I11" s="326">
        <f>Rosters!AO152</f>
        <v>22</v>
      </c>
      <c r="J11" s="472">
        <f>SUM(Rosters!S152,Rosters!X152,Rosters!AB152,Rosters!AG152)</f>
        <v>4</v>
      </c>
      <c r="K11" s="326">
        <v>1</v>
      </c>
      <c r="L11" s="5"/>
    </row>
    <row r="12" spans="1:21" ht="24.75" customHeight="1">
      <c r="A12" s="5"/>
      <c r="B12" s="492">
        <v>9</v>
      </c>
      <c r="C12" s="512" t="s">
        <v>7</v>
      </c>
      <c r="D12" s="494" t="s">
        <v>1968</v>
      </c>
      <c r="E12" s="496">
        <f>Rosters!AO172</f>
        <v>1925</v>
      </c>
      <c r="F12" s="496">
        <f>INDEX(Rosters!E172:AL172,0,U30)</f>
        <v>90</v>
      </c>
      <c r="G12" s="497">
        <f>Rosters!AO170</f>
        <v>3</v>
      </c>
      <c r="H12" s="497">
        <f>SUM(Rosters!S170,Rosters!X170,Rosters!AB170,Rosters!AG170)</f>
        <v>0</v>
      </c>
      <c r="I12" s="496">
        <f>Rosters!AO171</f>
        <v>30</v>
      </c>
      <c r="J12" s="496">
        <f>SUM(Rosters!S171,Rosters!X171,Rosters!AB171,Rosters!AG171)</f>
        <v>3</v>
      </c>
      <c r="K12" s="200">
        <v>1</v>
      </c>
      <c r="L12" s="5"/>
    </row>
    <row r="13" spans="1:21" ht="24.75" customHeight="1">
      <c r="A13" s="5"/>
      <c r="B13" s="491">
        <v>10</v>
      </c>
      <c r="C13" s="513" t="s">
        <v>7</v>
      </c>
      <c r="D13" s="493" t="s">
        <v>12</v>
      </c>
      <c r="E13" s="495">
        <f>Rosters!AO191</f>
        <v>1820</v>
      </c>
      <c r="F13" s="495">
        <f>INDEX(Rosters!E191:AL191,0,U26)</f>
        <v>150</v>
      </c>
      <c r="G13" s="327">
        <f>Rosters!AO189</f>
        <v>1</v>
      </c>
      <c r="H13" s="327">
        <f>SUM(Rosters!S189,Rosters!X189,Rosters!AB189,Rosters!AG189)</f>
        <v>0</v>
      </c>
      <c r="I13" s="495">
        <f>Rosters!AO190</f>
        <v>23</v>
      </c>
      <c r="J13" s="498">
        <f>SUM(Rosters!S190,Rosters!X190,Rosters!AB190,Rosters!AG190)</f>
        <v>2</v>
      </c>
      <c r="K13" s="327">
        <v>0</v>
      </c>
      <c r="L13" s="5"/>
    </row>
    <row r="14" spans="1:21" ht="3" customHeight="1">
      <c r="A14" s="5"/>
      <c r="B14" s="94"/>
      <c r="C14" s="95"/>
      <c r="D14" s="96"/>
      <c r="E14" s="97"/>
      <c r="F14" s="97"/>
      <c r="G14" s="98"/>
      <c r="H14" s="98"/>
      <c r="I14" s="97"/>
      <c r="J14" s="99"/>
      <c r="K14" s="5">
        <v>0</v>
      </c>
      <c r="L14" s="5"/>
      <c r="S14" s="6">
        <f>U22</f>
        <v>34</v>
      </c>
    </row>
    <row r="15" spans="1:21">
      <c r="U15" s="6">
        <f>U22</f>
        <v>34</v>
      </c>
    </row>
    <row r="16" spans="1:21">
      <c r="U16" s="6">
        <f>U22</f>
        <v>34</v>
      </c>
    </row>
    <row r="17" spans="20:21">
      <c r="U17" s="6">
        <f>U22</f>
        <v>34</v>
      </c>
    </row>
    <row r="18" spans="20:21">
      <c r="U18" s="6">
        <f>U22</f>
        <v>34</v>
      </c>
    </row>
    <row r="19" spans="20:21">
      <c r="U19" s="6">
        <f>U22</f>
        <v>34</v>
      </c>
    </row>
    <row r="20" spans="20:21">
      <c r="U20" s="6">
        <f>U22</f>
        <v>34</v>
      </c>
    </row>
    <row r="21" spans="20:21">
      <c r="U21" s="6">
        <f>U22</f>
        <v>34</v>
      </c>
    </row>
    <row r="22" spans="20:21">
      <c r="T22" s="6" t="s">
        <v>99</v>
      </c>
      <c r="U22" s="6">
        <v>34</v>
      </c>
    </row>
    <row r="23" spans="20:21">
      <c r="U23" s="6">
        <f>U22</f>
        <v>34</v>
      </c>
    </row>
    <row r="24" spans="20:21">
      <c r="U24" s="6">
        <f>U22</f>
        <v>34</v>
      </c>
    </row>
    <row r="25" spans="20:21">
      <c r="U25" s="6">
        <f>U22</f>
        <v>34</v>
      </c>
    </row>
    <row r="26" spans="20:21">
      <c r="U26" s="6">
        <f>U22</f>
        <v>34</v>
      </c>
    </row>
    <row r="27" spans="20:21">
      <c r="U27" s="6">
        <f>U22</f>
        <v>34</v>
      </c>
    </row>
    <row r="28" spans="20:21">
      <c r="U28" s="6">
        <f>U22</f>
        <v>34</v>
      </c>
    </row>
    <row r="29" spans="20:21">
      <c r="U29" s="6">
        <f>U22</f>
        <v>34</v>
      </c>
    </row>
    <row r="30" spans="20:21">
      <c r="U30" s="6">
        <f>U22</f>
        <v>34</v>
      </c>
    </row>
    <row r="31" spans="20:21">
      <c r="U31" s="6">
        <f>U22</f>
        <v>34</v>
      </c>
    </row>
    <row r="32" spans="20:21">
      <c r="U32" s="6">
        <f>U22</f>
        <v>34</v>
      </c>
    </row>
    <row r="33" spans="21:21">
      <c r="U33" s="6">
        <f>U22</f>
        <v>34</v>
      </c>
    </row>
    <row r="34" spans="21:21">
      <c r="U34" s="6">
        <f>U22</f>
        <v>34</v>
      </c>
    </row>
    <row r="35" spans="21:21">
      <c r="U35" s="6">
        <f>U22</f>
        <v>34</v>
      </c>
    </row>
    <row r="36" spans="21:21">
      <c r="U36" s="6">
        <f>U22</f>
        <v>34</v>
      </c>
    </row>
    <row r="37" spans="21:21">
      <c r="U37" s="6">
        <f>U22</f>
        <v>34</v>
      </c>
    </row>
    <row r="38" spans="21:21">
      <c r="U38" s="6">
        <f>U22</f>
        <v>34</v>
      </c>
    </row>
  </sheetData>
  <mergeCells count="1">
    <mergeCell ref="B2:K2"/>
  </mergeCells>
  <pageMargins left="0.7" right="0.7" top="0.75" bottom="0.75" header="0.3" footer="0.3"/>
  <pageSetup orientation="portrait" horizontalDpi="300" verticalDpi="300" r:id="rId1"/>
  <customProperties>
    <customPr name="EpmWorksheetKeyString_GUID" r:id="rId2"/>
  </customProperties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D225"/>
  <sheetViews>
    <sheetView tabSelected="1" zoomScale="115" zoomScaleNormal="115" workbookViewId="0">
      <selection activeCell="AD17" sqref="AD17"/>
    </sheetView>
  </sheetViews>
  <sheetFormatPr defaultColWidth="9.140625" defaultRowHeight="16.5"/>
  <cols>
    <col min="1" max="1" width="0.7109375" style="42" customWidth="1"/>
    <col min="2" max="2" width="4.85546875" style="42" customWidth="1"/>
    <col min="3" max="3" width="6" style="303" customWidth="1"/>
    <col min="4" max="4" width="28" style="42" customWidth="1"/>
    <col min="5" max="38" width="5.7109375" style="42" customWidth="1"/>
    <col min="39" max="39" width="7.5703125" style="42" customWidth="1"/>
    <col min="40" max="40" width="9.140625" style="73" customWidth="1"/>
    <col min="41" max="41" width="19" style="42" customWidth="1"/>
    <col min="42" max="42" width="0.5703125" style="42" customWidth="1"/>
    <col min="43" max="44" width="9.140625" style="42"/>
    <col min="45" max="45" width="9.5703125" style="42" bestFit="1" customWidth="1"/>
    <col min="46" max="46" width="9.28515625" style="42" bestFit="1" customWidth="1"/>
    <col min="47" max="48" width="9.5703125" style="42" bestFit="1" customWidth="1"/>
    <col min="49" max="16384" width="9.140625" style="42"/>
  </cols>
  <sheetData>
    <row r="1" spans="1:57" ht="3.75" customHeight="1" thickBot="1">
      <c r="A1" s="40"/>
      <c r="B1" s="40"/>
      <c r="C1" s="288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1"/>
      <c r="AO1" s="40"/>
      <c r="AP1" s="40"/>
    </row>
    <row r="2" spans="1:57" ht="54.75" customHeight="1" thickBot="1">
      <c r="A2" s="40"/>
      <c r="B2" s="696" t="s">
        <v>15</v>
      </c>
      <c r="C2" s="697"/>
      <c r="D2" s="697"/>
      <c r="E2" s="697"/>
      <c r="F2" s="697"/>
      <c r="G2" s="697"/>
      <c r="H2" s="697"/>
      <c r="I2" s="697"/>
      <c r="J2" s="697"/>
      <c r="K2" s="697"/>
      <c r="L2" s="697"/>
      <c r="M2" s="697"/>
      <c r="N2" s="697"/>
      <c r="O2" s="697"/>
      <c r="P2" s="697"/>
      <c r="Q2" s="697"/>
      <c r="R2" s="697"/>
      <c r="S2" s="697"/>
      <c r="T2" s="697"/>
      <c r="U2" s="697"/>
      <c r="V2" s="697"/>
      <c r="W2" s="697"/>
      <c r="X2" s="697"/>
      <c r="Y2" s="697"/>
      <c r="Z2" s="697"/>
      <c r="AA2" s="697"/>
      <c r="AB2" s="697"/>
      <c r="AC2" s="697"/>
      <c r="AD2" s="697"/>
      <c r="AE2" s="697"/>
      <c r="AF2" s="697"/>
      <c r="AG2" s="697"/>
      <c r="AH2" s="697"/>
      <c r="AI2" s="697"/>
      <c r="AJ2" s="697"/>
      <c r="AK2" s="697"/>
      <c r="AL2" s="697"/>
      <c r="AM2" s="698"/>
      <c r="AN2" s="698"/>
      <c r="AO2" s="699"/>
      <c r="AP2" s="40"/>
    </row>
    <row r="3" spans="1:57" ht="27" thickBot="1">
      <c r="A3" s="40"/>
      <c r="B3" s="729" t="s">
        <v>11</v>
      </c>
      <c r="C3" s="730"/>
      <c r="D3" s="730"/>
      <c r="E3" s="193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5"/>
      <c r="AA3" s="195"/>
      <c r="AB3" s="195"/>
      <c r="AC3" s="195"/>
      <c r="AD3" s="195"/>
      <c r="AE3" s="195"/>
      <c r="AF3" s="195"/>
      <c r="AG3" s="195"/>
      <c r="AH3" s="195"/>
      <c r="AI3" s="226">
        <v>0</v>
      </c>
      <c r="AJ3" s="227">
        <v>0</v>
      </c>
      <c r="AK3" s="228">
        <v>0</v>
      </c>
      <c r="AL3" s="233">
        <v>9</v>
      </c>
      <c r="AM3" s="623" t="s">
        <v>2017</v>
      </c>
      <c r="AN3" s="624"/>
      <c r="AO3" s="625"/>
      <c r="AP3" s="40"/>
    </row>
    <row r="4" spans="1:57" ht="13.5" customHeight="1">
      <c r="A4" s="43"/>
      <c r="B4" s="721" t="s">
        <v>16</v>
      </c>
      <c r="C4" s="722"/>
      <c r="D4" s="723"/>
      <c r="E4" s="44">
        <v>1</v>
      </c>
      <c r="F4" s="44">
        <v>2</v>
      </c>
      <c r="G4" s="44">
        <v>3</v>
      </c>
      <c r="H4" s="44">
        <v>4</v>
      </c>
      <c r="I4" s="44">
        <v>5</v>
      </c>
      <c r="J4" s="44">
        <v>6</v>
      </c>
      <c r="K4" s="44">
        <v>7</v>
      </c>
      <c r="L4" s="44">
        <v>8</v>
      </c>
      <c r="M4" s="44">
        <v>9</v>
      </c>
      <c r="N4" s="44">
        <v>10</v>
      </c>
      <c r="O4" s="44">
        <v>11</v>
      </c>
      <c r="P4" s="44">
        <v>12</v>
      </c>
      <c r="Q4" s="44">
        <v>13</v>
      </c>
      <c r="R4" s="44">
        <v>14</v>
      </c>
      <c r="S4" s="44">
        <v>15</v>
      </c>
      <c r="T4" s="44">
        <v>16</v>
      </c>
      <c r="U4" s="44">
        <v>17</v>
      </c>
      <c r="V4" s="45">
        <v>18</v>
      </c>
      <c r="W4" s="45">
        <v>19</v>
      </c>
      <c r="X4" s="45">
        <v>20</v>
      </c>
      <c r="Y4" s="45">
        <v>21</v>
      </c>
      <c r="Z4" s="45">
        <v>22</v>
      </c>
      <c r="AA4" s="45">
        <v>23</v>
      </c>
      <c r="AB4" s="45">
        <v>24</v>
      </c>
      <c r="AC4" s="45">
        <v>25</v>
      </c>
      <c r="AD4" s="45">
        <v>26</v>
      </c>
      <c r="AE4" s="45">
        <v>27</v>
      </c>
      <c r="AF4" s="45">
        <v>28</v>
      </c>
      <c r="AG4" s="45">
        <v>29</v>
      </c>
      <c r="AH4" s="45">
        <v>30</v>
      </c>
      <c r="AI4" s="45">
        <v>31</v>
      </c>
      <c r="AJ4" s="45">
        <v>32</v>
      </c>
      <c r="AK4" s="45">
        <v>33</v>
      </c>
      <c r="AL4" s="45">
        <v>34</v>
      </c>
      <c r="AM4" s="650" t="s">
        <v>17</v>
      </c>
      <c r="AN4" s="648" t="s">
        <v>18</v>
      </c>
      <c r="AO4" s="655" t="s">
        <v>19</v>
      </c>
      <c r="AP4" s="40"/>
    </row>
    <row r="5" spans="1:57" ht="13.5" customHeight="1" thickBot="1">
      <c r="A5" s="43"/>
      <c r="B5" s="724"/>
      <c r="C5" s="725"/>
      <c r="D5" s="726"/>
      <c r="E5" s="46" t="s">
        <v>21</v>
      </c>
      <c r="F5" s="46" t="s">
        <v>20</v>
      </c>
      <c r="G5" s="46" t="s">
        <v>20</v>
      </c>
      <c r="H5" s="46" t="s">
        <v>20</v>
      </c>
      <c r="I5" s="46" t="s">
        <v>21</v>
      </c>
      <c r="J5" s="46" t="s">
        <v>20</v>
      </c>
      <c r="K5" s="46" t="s">
        <v>22</v>
      </c>
      <c r="L5" s="46" t="s">
        <v>20</v>
      </c>
      <c r="M5" s="46" t="s">
        <v>20</v>
      </c>
      <c r="N5" s="46" t="s">
        <v>21</v>
      </c>
      <c r="O5" s="46" t="s">
        <v>22</v>
      </c>
      <c r="P5" s="46" t="s">
        <v>20</v>
      </c>
      <c r="Q5" s="46" t="s">
        <v>20</v>
      </c>
      <c r="R5" s="46" t="s">
        <v>20</v>
      </c>
      <c r="S5" s="46" t="s">
        <v>23</v>
      </c>
      <c r="T5" s="46" t="s">
        <v>21</v>
      </c>
      <c r="U5" s="46" t="s">
        <v>20</v>
      </c>
      <c r="V5" s="46" t="s">
        <v>20</v>
      </c>
      <c r="W5" s="46" t="s">
        <v>22</v>
      </c>
      <c r="X5" s="46" t="s">
        <v>23</v>
      </c>
      <c r="Y5" s="46" t="s">
        <v>20</v>
      </c>
      <c r="Z5" s="46" t="s">
        <v>22</v>
      </c>
      <c r="AA5" s="46" t="s">
        <v>21</v>
      </c>
      <c r="AB5" s="46" t="s">
        <v>23</v>
      </c>
      <c r="AC5" s="46" t="s">
        <v>21</v>
      </c>
      <c r="AD5" s="46" t="s">
        <v>20</v>
      </c>
      <c r="AE5" s="46" t="s">
        <v>20</v>
      </c>
      <c r="AF5" s="46" t="s">
        <v>21</v>
      </c>
      <c r="AG5" s="46" t="s">
        <v>23</v>
      </c>
      <c r="AH5" s="46" t="s">
        <v>20</v>
      </c>
      <c r="AI5" s="46" t="s">
        <v>20</v>
      </c>
      <c r="AJ5" s="46" t="s">
        <v>22</v>
      </c>
      <c r="AK5" s="46" t="s">
        <v>22</v>
      </c>
      <c r="AL5" s="46" t="s">
        <v>22</v>
      </c>
      <c r="AM5" s="651"/>
      <c r="AN5" s="649"/>
      <c r="AO5" s="656"/>
      <c r="AP5" s="40"/>
    </row>
    <row r="6" spans="1:57" ht="16.5" customHeight="1" thickBot="1">
      <c r="A6" s="47"/>
      <c r="B6" s="48">
        <v>1</v>
      </c>
      <c r="C6" s="289" t="s">
        <v>112</v>
      </c>
      <c r="D6" s="564" t="s">
        <v>2080</v>
      </c>
      <c r="E6" s="466" t="s">
        <v>7</v>
      </c>
      <c r="F6" s="469" t="s">
        <v>7</v>
      </c>
      <c r="G6" s="469" t="s">
        <v>7</v>
      </c>
      <c r="H6" s="469" t="s">
        <v>7</v>
      </c>
      <c r="I6" s="438">
        <v>125</v>
      </c>
      <c r="J6" s="469" t="s">
        <v>7</v>
      </c>
      <c r="K6" s="437">
        <v>15</v>
      </c>
      <c r="L6" s="469" t="s">
        <v>7</v>
      </c>
      <c r="M6" s="469" t="s">
        <v>7</v>
      </c>
      <c r="N6" s="437">
        <v>20</v>
      </c>
      <c r="O6" s="438">
        <v>150</v>
      </c>
      <c r="P6" s="469" t="s">
        <v>7</v>
      </c>
      <c r="Q6" s="437">
        <v>25</v>
      </c>
      <c r="R6" s="469" t="s">
        <v>7</v>
      </c>
      <c r="S6" s="473">
        <v>250</v>
      </c>
      <c r="T6" s="469" t="s">
        <v>7</v>
      </c>
      <c r="U6" s="437">
        <v>15</v>
      </c>
      <c r="V6" s="469" t="s">
        <v>7</v>
      </c>
      <c r="W6" s="437">
        <v>40</v>
      </c>
      <c r="X6" s="437">
        <v>15</v>
      </c>
      <c r="Y6" s="469" t="s">
        <v>7</v>
      </c>
      <c r="Z6" s="469" t="s">
        <v>7</v>
      </c>
      <c r="AA6" s="437">
        <v>0</v>
      </c>
      <c r="AB6" s="437">
        <v>20</v>
      </c>
      <c r="AC6" s="437">
        <v>30</v>
      </c>
      <c r="AD6" s="469" t="s">
        <v>7</v>
      </c>
      <c r="AE6" s="469" t="s">
        <v>7</v>
      </c>
      <c r="AF6" s="437">
        <v>70</v>
      </c>
      <c r="AG6" s="437">
        <v>60</v>
      </c>
      <c r="AH6" s="469" t="s">
        <v>7</v>
      </c>
      <c r="AI6" s="469" t="s">
        <v>7</v>
      </c>
      <c r="AJ6" s="469" t="s">
        <v>7</v>
      </c>
      <c r="AK6" s="437">
        <v>30</v>
      </c>
      <c r="AL6" s="437">
        <v>15</v>
      </c>
      <c r="AM6" s="205">
        <f t="shared" ref="AM6:AM17" si="0">COUNT(E6:AL6)</f>
        <v>16</v>
      </c>
      <c r="AN6" s="206">
        <f t="shared" ref="AN6:AN20" si="1">IF(ISERROR(AVERAGE(E6:AL6)),0,(AVERAGE(E6:AL6)))</f>
        <v>55</v>
      </c>
      <c r="AO6" s="207">
        <f t="shared" ref="AO6:AO20" si="2">SUM(E6:AL6)</f>
        <v>880</v>
      </c>
      <c r="AP6" s="40"/>
    </row>
    <row r="7" spans="1:57" ht="16.5" customHeight="1" thickBot="1">
      <c r="A7" s="49"/>
      <c r="B7" s="50">
        <v>2</v>
      </c>
      <c r="C7" s="290" t="s">
        <v>111</v>
      </c>
      <c r="D7" s="565" t="s">
        <v>2081</v>
      </c>
      <c r="E7" s="437">
        <v>20</v>
      </c>
      <c r="F7" s="469" t="s">
        <v>7</v>
      </c>
      <c r="G7" s="437">
        <v>0</v>
      </c>
      <c r="H7" s="469" t="s">
        <v>7</v>
      </c>
      <c r="I7" s="437">
        <v>0</v>
      </c>
      <c r="J7" s="437">
        <v>10</v>
      </c>
      <c r="K7" s="437">
        <v>10</v>
      </c>
      <c r="L7" s="469" t="s">
        <v>7</v>
      </c>
      <c r="M7" s="469" t="s">
        <v>7</v>
      </c>
      <c r="N7" s="437">
        <v>10</v>
      </c>
      <c r="O7" s="437">
        <v>0</v>
      </c>
      <c r="P7" s="469" t="s">
        <v>7</v>
      </c>
      <c r="Q7" s="437">
        <v>25</v>
      </c>
      <c r="R7" s="469" t="s">
        <v>7</v>
      </c>
      <c r="S7" s="437">
        <v>15</v>
      </c>
      <c r="T7" s="437">
        <v>5</v>
      </c>
      <c r="U7" s="469">
        <v>0</v>
      </c>
      <c r="V7" s="469" t="s">
        <v>7</v>
      </c>
      <c r="W7" s="437">
        <v>0</v>
      </c>
      <c r="X7" s="437">
        <v>15</v>
      </c>
      <c r="Y7" s="469" t="s">
        <v>7</v>
      </c>
      <c r="Z7" s="437">
        <v>0</v>
      </c>
      <c r="AA7" s="437">
        <v>0</v>
      </c>
      <c r="AB7" s="469">
        <v>0</v>
      </c>
      <c r="AC7" s="437">
        <v>10</v>
      </c>
      <c r="AD7" s="437">
        <v>0</v>
      </c>
      <c r="AE7" s="469" t="s">
        <v>7</v>
      </c>
      <c r="AF7" s="437">
        <v>20</v>
      </c>
      <c r="AG7" s="230">
        <v>100</v>
      </c>
      <c r="AH7" s="437">
        <v>15</v>
      </c>
      <c r="AI7" s="469" t="s">
        <v>7</v>
      </c>
      <c r="AJ7" s="437">
        <v>0</v>
      </c>
      <c r="AK7" s="469" t="s">
        <v>7</v>
      </c>
      <c r="AL7" s="469" t="s">
        <v>7</v>
      </c>
      <c r="AM7" s="208">
        <f t="shared" si="0"/>
        <v>22</v>
      </c>
      <c r="AN7" s="209">
        <f t="shared" si="1"/>
        <v>11.590909090909092</v>
      </c>
      <c r="AO7" s="210">
        <f t="shared" si="2"/>
        <v>255</v>
      </c>
      <c r="AP7" s="40"/>
      <c r="AR7" s="233"/>
      <c r="AT7" s="229"/>
    </row>
    <row r="8" spans="1:57" ht="16.5" customHeight="1" thickBot="1">
      <c r="A8" s="49"/>
      <c r="B8" s="50">
        <v>3</v>
      </c>
      <c r="C8" s="290" t="s">
        <v>118</v>
      </c>
      <c r="D8" s="565" t="s">
        <v>2118</v>
      </c>
      <c r="E8" s="466" t="s">
        <v>7</v>
      </c>
      <c r="F8" s="469" t="s">
        <v>7</v>
      </c>
      <c r="G8" s="469" t="s">
        <v>7</v>
      </c>
      <c r="H8" s="437">
        <v>0</v>
      </c>
      <c r="I8" s="437">
        <v>70</v>
      </c>
      <c r="J8" s="469" t="s">
        <v>7</v>
      </c>
      <c r="K8" s="437">
        <v>10</v>
      </c>
      <c r="L8" s="469" t="s">
        <v>7</v>
      </c>
      <c r="M8" s="437">
        <v>15</v>
      </c>
      <c r="N8" s="437">
        <v>30</v>
      </c>
      <c r="O8" s="437">
        <v>15</v>
      </c>
      <c r="P8" s="437">
        <v>20</v>
      </c>
      <c r="Q8" s="469" t="s">
        <v>7</v>
      </c>
      <c r="R8" s="469" t="s">
        <v>7</v>
      </c>
      <c r="S8" s="437">
        <v>15</v>
      </c>
      <c r="T8" s="437">
        <v>10</v>
      </c>
      <c r="U8" s="437">
        <v>15</v>
      </c>
      <c r="V8" s="469" t="s">
        <v>7</v>
      </c>
      <c r="W8" s="437">
        <v>90</v>
      </c>
      <c r="X8" s="469">
        <v>0</v>
      </c>
      <c r="Y8" s="469" t="s">
        <v>7</v>
      </c>
      <c r="Z8" s="437">
        <v>15</v>
      </c>
      <c r="AA8" s="437">
        <v>20</v>
      </c>
      <c r="AB8" s="437">
        <v>0</v>
      </c>
      <c r="AC8" s="437">
        <v>5</v>
      </c>
      <c r="AD8" s="469" t="s">
        <v>7</v>
      </c>
      <c r="AE8" s="469" t="s">
        <v>7</v>
      </c>
      <c r="AF8" s="469" t="s">
        <v>7</v>
      </c>
      <c r="AG8" s="524">
        <v>15</v>
      </c>
      <c r="AH8" s="469" t="s">
        <v>7</v>
      </c>
      <c r="AI8" s="469" t="s">
        <v>7</v>
      </c>
      <c r="AJ8" s="469">
        <v>0</v>
      </c>
      <c r="AK8" s="437">
        <v>15</v>
      </c>
      <c r="AL8" s="437">
        <v>30</v>
      </c>
      <c r="AM8" s="208">
        <f t="shared" si="0"/>
        <v>20</v>
      </c>
      <c r="AN8" s="209">
        <f t="shared" si="1"/>
        <v>19.5</v>
      </c>
      <c r="AO8" s="210">
        <f t="shared" si="2"/>
        <v>390</v>
      </c>
      <c r="AP8" s="40"/>
      <c r="AR8" s="227"/>
      <c r="AT8" s="230"/>
      <c r="AY8" s="42">
        <v>0</v>
      </c>
      <c r="AZ8" s="42">
        <v>0.5</v>
      </c>
      <c r="BA8" s="42">
        <v>1</v>
      </c>
      <c r="BB8" s="42">
        <v>1.5</v>
      </c>
      <c r="BC8" s="42">
        <v>2</v>
      </c>
      <c r="BD8" s="42">
        <v>2.5</v>
      </c>
      <c r="BE8" s="42">
        <v>3</v>
      </c>
    </row>
    <row r="9" spans="1:57" ht="16.5" customHeight="1" thickBot="1">
      <c r="A9" s="49"/>
      <c r="B9" s="50">
        <v>4</v>
      </c>
      <c r="C9" s="290" t="s">
        <v>114</v>
      </c>
      <c r="D9" s="565" t="s">
        <v>2127</v>
      </c>
      <c r="E9" s="436">
        <v>10</v>
      </c>
      <c r="F9" s="469" t="s">
        <v>7</v>
      </c>
      <c r="G9" s="469" t="s">
        <v>7</v>
      </c>
      <c r="H9" s="469" t="s">
        <v>7</v>
      </c>
      <c r="I9" s="437">
        <v>5</v>
      </c>
      <c r="J9" s="469">
        <v>0</v>
      </c>
      <c r="K9" s="469">
        <v>10</v>
      </c>
      <c r="L9" s="469" t="s">
        <v>7</v>
      </c>
      <c r="M9" s="469" t="s">
        <v>7</v>
      </c>
      <c r="N9" s="469">
        <v>10</v>
      </c>
      <c r="O9" s="469">
        <v>0</v>
      </c>
      <c r="P9" s="469" t="s">
        <v>7</v>
      </c>
      <c r="Q9" s="469" t="s">
        <v>7</v>
      </c>
      <c r="R9" s="437">
        <v>0</v>
      </c>
      <c r="S9" s="437">
        <v>15</v>
      </c>
      <c r="T9" s="437">
        <v>5</v>
      </c>
      <c r="U9" s="469">
        <v>0</v>
      </c>
      <c r="V9" s="469" t="s">
        <v>7</v>
      </c>
      <c r="W9" s="469">
        <v>15</v>
      </c>
      <c r="X9" s="230">
        <v>60</v>
      </c>
      <c r="Y9" s="469" t="s">
        <v>7</v>
      </c>
      <c r="Z9" s="437">
        <v>10</v>
      </c>
      <c r="AA9" s="469" t="s">
        <v>7</v>
      </c>
      <c r="AB9" s="437">
        <v>15</v>
      </c>
      <c r="AC9" s="437">
        <v>10</v>
      </c>
      <c r="AD9" s="437">
        <v>20</v>
      </c>
      <c r="AE9" s="469" t="s">
        <v>7</v>
      </c>
      <c r="AF9" s="437">
        <v>50</v>
      </c>
      <c r="AG9" s="231">
        <v>100</v>
      </c>
      <c r="AH9" s="469" t="s">
        <v>7</v>
      </c>
      <c r="AI9" s="437">
        <v>20</v>
      </c>
      <c r="AJ9" s="437">
        <v>10</v>
      </c>
      <c r="AK9" s="437">
        <v>15</v>
      </c>
      <c r="AL9" s="469" t="s">
        <v>7</v>
      </c>
      <c r="AM9" s="208">
        <f t="shared" si="0"/>
        <v>21</v>
      </c>
      <c r="AN9" s="209">
        <f t="shared" si="1"/>
        <v>18.095238095238095</v>
      </c>
      <c r="AO9" s="210">
        <f t="shared" si="2"/>
        <v>380</v>
      </c>
      <c r="AP9" s="40"/>
      <c r="AR9" s="226"/>
      <c r="AT9" s="231"/>
      <c r="AY9" s="42">
        <v>6</v>
      </c>
      <c r="AZ9" s="42">
        <v>7</v>
      </c>
      <c r="BA9" s="42">
        <v>21</v>
      </c>
      <c r="BB9" s="42">
        <v>3</v>
      </c>
      <c r="BC9" s="42">
        <v>13</v>
      </c>
      <c r="BD9" s="42">
        <v>2</v>
      </c>
      <c r="BE9" s="42">
        <v>12</v>
      </c>
    </row>
    <row r="10" spans="1:57" ht="16.5" customHeight="1" thickBot="1">
      <c r="A10" s="49"/>
      <c r="B10" s="50">
        <v>5</v>
      </c>
      <c r="C10" s="290" t="s">
        <v>111</v>
      </c>
      <c r="D10" s="565" t="s">
        <v>2134</v>
      </c>
      <c r="E10" s="436">
        <v>10</v>
      </c>
      <c r="F10" s="469" t="s">
        <v>7</v>
      </c>
      <c r="G10" s="437">
        <v>20</v>
      </c>
      <c r="H10" s="437">
        <v>5</v>
      </c>
      <c r="I10" s="437">
        <v>0</v>
      </c>
      <c r="J10" s="437">
        <v>5</v>
      </c>
      <c r="K10" s="437">
        <v>15</v>
      </c>
      <c r="L10" s="469" t="s">
        <v>7</v>
      </c>
      <c r="M10" s="437">
        <v>15</v>
      </c>
      <c r="N10" s="469">
        <v>10</v>
      </c>
      <c r="O10" s="469">
        <v>0</v>
      </c>
      <c r="P10" s="469" t="s">
        <v>7</v>
      </c>
      <c r="Q10" s="469">
        <v>0</v>
      </c>
      <c r="R10" s="469" t="s">
        <v>7</v>
      </c>
      <c r="S10" s="469">
        <v>15</v>
      </c>
      <c r="T10" s="437">
        <v>5</v>
      </c>
      <c r="U10" s="469">
        <v>5</v>
      </c>
      <c r="V10" s="469" t="s">
        <v>7</v>
      </c>
      <c r="W10" s="469">
        <v>0</v>
      </c>
      <c r="X10" s="469">
        <v>15</v>
      </c>
      <c r="Y10" s="437">
        <v>10</v>
      </c>
      <c r="Z10" s="469">
        <v>15</v>
      </c>
      <c r="AA10" s="469" t="s">
        <v>7</v>
      </c>
      <c r="AB10" s="232">
        <v>20</v>
      </c>
      <c r="AC10" s="437">
        <v>5</v>
      </c>
      <c r="AD10" s="437">
        <v>45</v>
      </c>
      <c r="AE10" s="469" t="s">
        <v>7</v>
      </c>
      <c r="AF10" s="437">
        <v>0</v>
      </c>
      <c r="AG10" s="474">
        <v>0</v>
      </c>
      <c r="AH10" s="437">
        <v>0</v>
      </c>
      <c r="AI10" s="437">
        <v>0</v>
      </c>
      <c r="AJ10" s="469">
        <v>10</v>
      </c>
      <c r="AK10" s="469" t="s">
        <v>7</v>
      </c>
      <c r="AL10" s="469" t="s">
        <v>7</v>
      </c>
      <c r="AM10" s="208">
        <f t="shared" si="0"/>
        <v>25</v>
      </c>
      <c r="AN10" s="209">
        <f t="shared" si="1"/>
        <v>9</v>
      </c>
      <c r="AO10" s="210">
        <f t="shared" si="2"/>
        <v>225</v>
      </c>
      <c r="AP10" s="40"/>
      <c r="AR10" s="228"/>
      <c r="AT10" s="232"/>
      <c r="AY10" s="42">
        <v>59</v>
      </c>
      <c r="AZ10" s="42">
        <v>52</v>
      </c>
      <c r="BA10" s="42">
        <v>31</v>
      </c>
      <c r="BB10" s="42">
        <v>28</v>
      </c>
      <c r="BC10" s="42">
        <v>15</v>
      </c>
      <c r="BD10" s="42">
        <v>13</v>
      </c>
      <c r="BE10" s="42">
        <v>0</v>
      </c>
    </row>
    <row r="11" spans="1:57" ht="16.5" customHeight="1" thickBot="1">
      <c r="A11" s="49"/>
      <c r="B11" s="50">
        <v>6</v>
      </c>
      <c r="C11" s="290" t="s">
        <v>111</v>
      </c>
      <c r="D11" s="565" t="s">
        <v>2206</v>
      </c>
      <c r="E11" s="229">
        <v>5</v>
      </c>
      <c r="F11" s="229">
        <v>0</v>
      </c>
      <c r="G11" s="229">
        <v>0</v>
      </c>
      <c r="H11" s="229">
        <v>10</v>
      </c>
      <c r="I11" s="229" t="s">
        <v>7</v>
      </c>
      <c r="J11" s="229">
        <v>0</v>
      </c>
      <c r="K11" s="229" t="s">
        <v>7</v>
      </c>
      <c r="L11" s="229">
        <v>0</v>
      </c>
      <c r="M11" s="229">
        <v>0</v>
      </c>
      <c r="N11" s="229" t="s">
        <v>7</v>
      </c>
      <c r="O11" s="229">
        <v>0</v>
      </c>
      <c r="P11" s="229">
        <v>0</v>
      </c>
      <c r="Q11" s="229">
        <v>10</v>
      </c>
      <c r="R11" s="229">
        <v>0</v>
      </c>
      <c r="S11" s="229" t="s">
        <v>7</v>
      </c>
      <c r="T11" s="229" t="s">
        <v>7</v>
      </c>
      <c r="U11" s="229">
        <v>15</v>
      </c>
      <c r="V11" s="229">
        <v>15</v>
      </c>
      <c r="W11" s="229" t="s">
        <v>7</v>
      </c>
      <c r="X11" s="229" t="s">
        <v>7</v>
      </c>
      <c r="Y11" s="229">
        <v>5</v>
      </c>
      <c r="Z11" s="229" t="s">
        <v>7</v>
      </c>
      <c r="AA11" s="229">
        <v>0</v>
      </c>
      <c r="AB11" s="229">
        <v>20</v>
      </c>
      <c r="AC11" s="229" t="s">
        <v>7</v>
      </c>
      <c r="AD11" s="229">
        <v>5</v>
      </c>
      <c r="AE11" s="229">
        <v>10</v>
      </c>
      <c r="AF11" s="229">
        <v>125</v>
      </c>
      <c r="AG11" s="437">
        <v>120</v>
      </c>
      <c r="AH11" s="437">
        <v>20</v>
      </c>
      <c r="AI11" s="469" t="s">
        <v>7</v>
      </c>
      <c r="AJ11" s="231">
        <v>0</v>
      </c>
      <c r="AK11" s="437">
        <v>10</v>
      </c>
      <c r="AL11" s="437">
        <v>40</v>
      </c>
      <c r="AM11" s="208">
        <f t="shared" si="0"/>
        <v>24</v>
      </c>
      <c r="AN11" s="209">
        <f t="shared" si="1"/>
        <v>17.083333333333332</v>
      </c>
      <c r="AO11" s="210">
        <f t="shared" si="2"/>
        <v>410</v>
      </c>
      <c r="AP11" s="40"/>
      <c r="AR11" s="225"/>
      <c r="AT11" s="224"/>
      <c r="AY11" s="42">
        <v>0</v>
      </c>
      <c r="AZ11" s="42">
        <v>0</v>
      </c>
      <c r="BA11" s="42">
        <v>10</v>
      </c>
      <c r="BB11" s="42">
        <v>10</v>
      </c>
      <c r="BC11" s="42">
        <v>30</v>
      </c>
      <c r="BD11" s="42">
        <v>30</v>
      </c>
    </row>
    <row r="12" spans="1:57" ht="16.5" customHeight="1">
      <c r="A12" s="49"/>
      <c r="B12" s="50">
        <v>7</v>
      </c>
      <c r="C12" s="290" t="s">
        <v>111</v>
      </c>
      <c r="D12" s="565" t="s">
        <v>2153</v>
      </c>
      <c r="E12" s="466" t="s">
        <v>7</v>
      </c>
      <c r="F12" s="437">
        <v>0</v>
      </c>
      <c r="G12" s="437">
        <v>10</v>
      </c>
      <c r="H12" s="469">
        <v>0</v>
      </c>
      <c r="I12" s="469" t="s">
        <v>7</v>
      </c>
      <c r="J12" s="437">
        <v>45</v>
      </c>
      <c r="K12" s="469">
        <v>30</v>
      </c>
      <c r="L12" s="469" t="s">
        <v>7</v>
      </c>
      <c r="M12" s="437">
        <v>10</v>
      </c>
      <c r="N12" s="437">
        <v>20</v>
      </c>
      <c r="O12" s="231">
        <v>15</v>
      </c>
      <c r="P12" s="469" t="s">
        <v>7</v>
      </c>
      <c r="Q12" s="469" t="s">
        <v>7</v>
      </c>
      <c r="R12" s="437">
        <v>5</v>
      </c>
      <c r="S12" s="232">
        <v>20</v>
      </c>
      <c r="T12" s="437">
        <v>60</v>
      </c>
      <c r="U12" s="469" t="s">
        <v>7</v>
      </c>
      <c r="V12" s="469" t="s">
        <v>7</v>
      </c>
      <c r="W12" s="437">
        <v>30</v>
      </c>
      <c r="X12" s="437">
        <v>15</v>
      </c>
      <c r="Y12" s="437">
        <v>0</v>
      </c>
      <c r="Z12" s="437">
        <v>0</v>
      </c>
      <c r="AA12" s="469" t="s">
        <v>7</v>
      </c>
      <c r="AB12" s="437">
        <v>15</v>
      </c>
      <c r="AC12" s="469">
        <v>5</v>
      </c>
      <c r="AD12" s="469" t="s">
        <v>7</v>
      </c>
      <c r="AE12" s="469" t="s">
        <v>7</v>
      </c>
      <c r="AF12" s="437">
        <v>0</v>
      </c>
      <c r="AG12" s="437">
        <v>15</v>
      </c>
      <c r="AH12" s="469" t="s">
        <v>7</v>
      </c>
      <c r="AI12" s="469" t="s">
        <v>7</v>
      </c>
      <c r="AJ12" s="469">
        <v>0</v>
      </c>
      <c r="AK12" s="437">
        <v>0</v>
      </c>
      <c r="AL12" s="469" t="s">
        <v>7</v>
      </c>
      <c r="AM12" s="208">
        <f t="shared" si="0"/>
        <v>21</v>
      </c>
      <c r="AN12" s="209">
        <f t="shared" si="1"/>
        <v>14.047619047619047</v>
      </c>
      <c r="AO12" s="210">
        <f t="shared" si="2"/>
        <v>295</v>
      </c>
      <c r="AP12" s="40"/>
      <c r="AR12" s="51"/>
    </row>
    <row r="13" spans="1:57" ht="16.5" customHeight="1">
      <c r="A13" s="49"/>
      <c r="B13" s="50">
        <v>8</v>
      </c>
      <c r="C13" s="290" t="s">
        <v>111</v>
      </c>
      <c r="D13" s="565" t="s">
        <v>2165</v>
      </c>
      <c r="E13" s="466" t="s">
        <v>7</v>
      </c>
      <c r="F13" s="469" t="s">
        <v>7</v>
      </c>
      <c r="G13" s="437">
        <v>0</v>
      </c>
      <c r="H13" s="469">
        <v>0</v>
      </c>
      <c r="I13" s="469" t="s">
        <v>7</v>
      </c>
      <c r="J13" s="469">
        <v>0</v>
      </c>
      <c r="K13" s="469" t="s">
        <v>7</v>
      </c>
      <c r="L13" s="437">
        <v>0</v>
      </c>
      <c r="M13" s="437">
        <v>5</v>
      </c>
      <c r="N13" s="469" t="s">
        <v>7</v>
      </c>
      <c r="O13" s="469" t="s">
        <v>7</v>
      </c>
      <c r="P13" s="437">
        <v>0</v>
      </c>
      <c r="Q13" s="437">
        <v>5</v>
      </c>
      <c r="R13" s="437">
        <v>0</v>
      </c>
      <c r="S13" s="469" t="s">
        <v>7</v>
      </c>
      <c r="T13" s="469" t="s">
        <v>7</v>
      </c>
      <c r="U13" s="437">
        <v>30</v>
      </c>
      <c r="V13" s="437">
        <v>5</v>
      </c>
      <c r="W13" s="469">
        <v>0</v>
      </c>
      <c r="X13" s="232">
        <v>15</v>
      </c>
      <c r="Y13" s="437">
        <v>0</v>
      </c>
      <c r="Z13" s="469" t="s">
        <v>7</v>
      </c>
      <c r="AA13" s="469" t="s">
        <v>7</v>
      </c>
      <c r="AB13" s="469" t="s">
        <v>7</v>
      </c>
      <c r="AC13" s="469" t="s">
        <v>7</v>
      </c>
      <c r="AD13" s="437">
        <v>30</v>
      </c>
      <c r="AE13" s="437">
        <v>10</v>
      </c>
      <c r="AF13" s="469" t="s">
        <v>7</v>
      </c>
      <c r="AG13" s="469" t="s">
        <v>7</v>
      </c>
      <c r="AH13" s="469">
        <v>0</v>
      </c>
      <c r="AI13" s="437">
        <v>5</v>
      </c>
      <c r="AJ13" s="469" t="s">
        <v>7</v>
      </c>
      <c r="AK13" s="469" t="s">
        <v>7</v>
      </c>
      <c r="AL13" s="469" t="s">
        <v>7</v>
      </c>
      <c r="AM13" s="208">
        <f t="shared" si="0"/>
        <v>17</v>
      </c>
      <c r="AN13" s="209">
        <f t="shared" si="1"/>
        <v>6.1764705882352944</v>
      </c>
      <c r="AO13" s="210">
        <f t="shared" si="2"/>
        <v>105</v>
      </c>
      <c r="AP13" s="40"/>
      <c r="AR13" s="118"/>
      <c r="AS13" s="118"/>
      <c r="AT13" s="118"/>
      <c r="AU13" s="118"/>
      <c r="AV13" s="118"/>
      <c r="AW13" s="118"/>
      <c r="AX13" s="118"/>
      <c r="AY13" s="118"/>
      <c r="AZ13" s="118"/>
    </row>
    <row r="14" spans="1:57" ht="16.5" customHeight="1">
      <c r="A14" s="49"/>
      <c r="B14" s="50">
        <v>9</v>
      </c>
      <c r="C14" s="290" t="s">
        <v>111</v>
      </c>
      <c r="D14" s="565" t="s">
        <v>2172</v>
      </c>
      <c r="E14" s="436">
        <v>0</v>
      </c>
      <c r="F14" s="469" t="s">
        <v>7</v>
      </c>
      <c r="G14" s="469">
        <v>0</v>
      </c>
      <c r="H14" s="437">
        <v>5</v>
      </c>
      <c r="I14" s="469">
        <v>5</v>
      </c>
      <c r="J14" s="437">
        <v>5</v>
      </c>
      <c r="K14" s="469">
        <v>15</v>
      </c>
      <c r="L14" s="437">
        <v>10</v>
      </c>
      <c r="M14" s="437">
        <v>20</v>
      </c>
      <c r="N14" s="469" t="s">
        <v>7</v>
      </c>
      <c r="O14" s="437">
        <v>30</v>
      </c>
      <c r="P14" s="437">
        <v>0</v>
      </c>
      <c r="Q14" s="469">
        <v>5</v>
      </c>
      <c r="R14" s="437">
        <v>0</v>
      </c>
      <c r="S14" s="469" t="s">
        <v>7</v>
      </c>
      <c r="T14" s="469" t="s">
        <v>7</v>
      </c>
      <c r="U14" s="437">
        <v>35</v>
      </c>
      <c r="V14" s="437">
        <v>5</v>
      </c>
      <c r="W14" s="469" t="s">
        <v>7</v>
      </c>
      <c r="X14" s="469">
        <v>0</v>
      </c>
      <c r="Y14" s="469">
        <v>0</v>
      </c>
      <c r="Z14" s="469" t="s">
        <v>7</v>
      </c>
      <c r="AA14" s="437">
        <v>5</v>
      </c>
      <c r="AB14" s="469" t="s">
        <v>7</v>
      </c>
      <c r="AC14" s="469" t="s">
        <v>7</v>
      </c>
      <c r="AD14" s="437">
        <v>30</v>
      </c>
      <c r="AE14" s="437">
        <v>10</v>
      </c>
      <c r="AF14" s="469">
        <v>10</v>
      </c>
      <c r="AG14" s="469" t="s">
        <v>7</v>
      </c>
      <c r="AH14" s="437">
        <v>35</v>
      </c>
      <c r="AI14" s="437">
        <v>0</v>
      </c>
      <c r="AJ14" s="437">
        <v>0</v>
      </c>
      <c r="AK14" s="469" t="s">
        <v>7</v>
      </c>
      <c r="AL14" s="469" t="s">
        <v>7</v>
      </c>
      <c r="AM14" s="208">
        <f t="shared" si="0"/>
        <v>23</v>
      </c>
      <c r="AN14" s="209">
        <f t="shared" si="1"/>
        <v>9.7826086956521738</v>
      </c>
      <c r="AO14" s="210">
        <f t="shared" si="2"/>
        <v>225</v>
      </c>
      <c r="AP14" s="40"/>
      <c r="AR14" s="119"/>
      <c r="AS14" s="118"/>
      <c r="AT14" s="118"/>
      <c r="AU14" s="118"/>
      <c r="AV14" s="118"/>
      <c r="AW14" s="118"/>
      <c r="AX14" s="118"/>
      <c r="AY14" s="118"/>
      <c r="AZ14" s="118"/>
    </row>
    <row r="15" spans="1:57" ht="16.5" customHeight="1">
      <c r="A15" s="49"/>
      <c r="B15" s="50">
        <v>10</v>
      </c>
      <c r="C15" s="290" t="s">
        <v>111</v>
      </c>
      <c r="D15" s="565" t="s">
        <v>2184</v>
      </c>
      <c r="E15" s="466" t="s">
        <v>7</v>
      </c>
      <c r="F15" s="437">
        <v>0</v>
      </c>
      <c r="G15" s="469">
        <v>0</v>
      </c>
      <c r="H15" s="437">
        <v>45</v>
      </c>
      <c r="I15" s="469">
        <v>10</v>
      </c>
      <c r="J15" s="469">
        <v>5</v>
      </c>
      <c r="K15" s="437">
        <v>10</v>
      </c>
      <c r="L15" s="437">
        <v>0</v>
      </c>
      <c r="M15" s="469" t="s">
        <v>7</v>
      </c>
      <c r="N15" s="437">
        <v>5</v>
      </c>
      <c r="O15" s="469">
        <v>0</v>
      </c>
      <c r="P15" s="437">
        <v>0</v>
      </c>
      <c r="Q15" s="437">
        <v>10</v>
      </c>
      <c r="R15" s="469">
        <v>0</v>
      </c>
      <c r="S15" s="469" t="s">
        <v>7</v>
      </c>
      <c r="T15" s="469">
        <v>0</v>
      </c>
      <c r="U15" s="437">
        <v>10</v>
      </c>
      <c r="V15" s="437">
        <v>35</v>
      </c>
      <c r="W15" s="437">
        <v>15</v>
      </c>
      <c r="X15" s="469">
        <v>0</v>
      </c>
      <c r="Y15" s="437">
        <v>5</v>
      </c>
      <c r="Z15" s="437">
        <v>10</v>
      </c>
      <c r="AA15" s="469" t="s">
        <v>7</v>
      </c>
      <c r="AB15" s="469">
        <v>20</v>
      </c>
      <c r="AC15" s="469">
        <v>5</v>
      </c>
      <c r="AD15" s="469" t="s">
        <v>7</v>
      </c>
      <c r="AE15" s="437">
        <v>10</v>
      </c>
      <c r="AF15" s="469">
        <v>0</v>
      </c>
      <c r="AG15" s="469" t="s">
        <v>7</v>
      </c>
      <c r="AH15" s="437">
        <v>45</v>
      </c>
      <c r="AI15" s="437">
        <v>0</v>
      </c>
      <c r="AJ15" s="437">
        <v>0</v>
      </c>
      <c r="AK15" s="469">
        <v>10</v>
      </c>
      <c r="AL15" s="469" t="s">
        <v>7</v>
      </c>
      <c r="AM15" s="208">
        <f t="shared" si="0"/>
        <v>27</v>
      </c>
      <c r="AN15" s="209">
        <f t="shared" si="1"/>
        <v>9.2592592592592595</v>
      </c>
      <c r="AO15" s="210">
        <f t="shared" si="2"/>
        <v>250</v>
      </c>
      <c r="AP15" s="40"/>
      <c r="AR15" s="119"/>
      <c r="AS15" s="118"/>
      <c r="AT15" s="118"/>
      <c r="AU15" s="118"/>
      <c r="AV15" s="118"/>
      <c r="AW15" s="118"/>
      <c r="AX15" s="118"/>
      <c r="AY15" s="118"/>
      <c r="AZ15" s="118"/>
    </row>
    <row r="16" spans="1:57" ht="16.5" customHeight="1">
      <c r="A16" s="49"/>
      <c r="B16" s="346" t="s">
        <v>1979</v>
      </c>
      <c r="C16" s="347" t="s">
        <v>114</v>
      </c>
      <c r="D16" s="566" t="s">
        <v>2082</v>
      </c>
      <c r="E16" s="466" t="s">
        <v>7</v>
      </c>
      <c r="F16" s="469" t="s">
        <v>7</v>
      </c>
      <c r="G16" s="469" t="s">
        <v>7</v>
      </c>
      <c r="H16" s="469" t="s">
        <v>7</v>
      </c>
      <c r="I16" s="469" t="s">
        <v>7</v>
      </c>
      <c r="J16" s="469" t="s">
        <v>7</v>
      </c>
      <c r="K16" s="469" t="s">
        <v>7</v>
      </c>
      <c r="L16" s="469" t="s">
        <v>7</v>
      </c>
      <c r="M16" s="469" t="s">
        <v>7</v>
      </c>
      <c r="N16" s="469" t="s">
        <v>7</v>
      </c>
      <c r="O16" s="469" t="s">
        <v>7</v>
      </c>
      <c r="P16" s="469" t="s">
        <v>7</v>
      </c>
      <c r="Q16" s="469" t="s">
        <v>7</v>
      </c>
      <c r="R16" s="469" t="s">
        <v>7</v>
      </c>
      <c r="S16" s="437">
        <v>40</v>
      </c>
      <c r="T16" s="469" t="s">
        <v>7</v>
      </c>
      <c r="U16" s="469" t="s">
        <v>7</v>
      </c>
      <c r="V16" s="469" t="s">
        <v>7</v>
      </c>
      <c r="W16" s="469" t="s">
        <v>7</v>
      </c>
      <c r="X16" s="437">
        <v>0</v>
      </c>
      <c r="Y16" s="469" t="s">
        <v>7</v>
      </c>
      <c r="Z16" s="469" t="s">
        <v>7</v>
      </c>
      <c r="AA16" s="469" t="s">
        <v>7</v>
      </c>
      <c r="AB16" s="437">
        <v>100</v>
      </c>
      <c r="AC16" s="469" t="s">
        <v>7</v>
      </c>
      <c r="AD16" s="469" t="s">
        <v>7</v>
      </c>
      <c r="AE16" s="469" t="s">
        <v>7</v>
      </c>
      <c r="AF16" s="469" t="s">
        <v>7</v>
      </c>
      <c r="AG16" s="230">
        <v>20</v>
      </c>
      <c r="AH16" s="469" t="s">
        <v>7</v>
      </c>
      <c r="AI16" s="469" t="s">
        <v>7</v>
      </c>
      <c r="AJ16" s="469" t="s">
        <v>7</v>
      </c>
      <c r="AK16" s="469" t="s">
        <v>7</v>
      </c>
      <c r="AL16" s="469" t="s">
        <v>7</v>
      </c>
      <c r="AM16" s="208">
        <f t="shared" si="0"/>
        <v>4</v>
      </c>
      <c r="AN16" s="209">
        <f t="shared" si="1"/>
        <v>40</v>
      </c>
      <c r="AO16" s="210">
        <f t="shared" si="2"/>
        <v>160</v>
      </c>
      <c r="AP16" s="40"/>
      <c r="AR16" s="119"/>
      <c r="AS16" s="118"/>
      <c r="AT16" s="118"/>
      <c r="AU16" s="118"/>
      <c r="AV16" s="118"/>
      <c r="AW16" s="118"/>
      <c r="AX16" s="118"/>
      <c r="AY16" s="118"/>
      <c r="AZ16" s="118"/>
    </row>
    <row r="17" spans="1:52" ht="16.5" customHeight="1" thickBot="1">
      <c r="A17" s="52"/>
      <c r="B17" s="349" t="s">
        <v>1979</v>
      </c>
      <c r="C17" s="348" t="s">
        <v>111</v>
      </c>
      <c r="D17" s="567" t="s">
        <v>2107</v>
      </c>
      <c r="E17" s="466" t="s">
        <v>7</v>
      </c>
      <c r="F17" s="469" t="s">
        <v>7</v>
      </c>
      <c r="G17" s="469" t="s">
        <v>7</v>
      </c>
      <c r="H17" s="469" t="s">
        <v>7</v>
      </c>
      <c r="I17" s="469" t="s">
        <v>7</v>
      </c>
      <c r="J17" s="469" t="s">
        <v>7</v>
      </c>
      <c r="K17" s="469" t="s">
        <v>7</v>
      </c>
      <c r="L17" s="469" t="s">
        <v>7</v>
      </c>
      <c r="M17" s="469" t="s">
        <v>7</v>
      </c>
      <c r="N17" s="469" t="s">
        <v>7</v>
      </c>
      <c r="O17" s="469" t="s">
        <v>7</v>
      </c>
      <c r="P17" s="469" t="s">
        <v>7</v>
      </c>
      <c r="Q17" s="469" t="s">
        <v>7</v>
      </c>
      <c r="R17" s="469" t="s">
        <v>7</v>
      </c>
      <c r="S17" s="469" t="s">
        <v>7</v>
      </c>
      <c r="T17" s="469" t="s">
        <v>7</v>
      </c>
      <c r="U17" s="469" t="s">
        <v>7</v>
      </c>
      <c r="V17" s="469" t="s">
        <v>7</v>
      </c>
      <c r="W17" s="469" t="s">
        <v>7</v>
      </c>
      <c r="X17" s="469" t="s">
        <v>7</v>
      </c>
      <c r="Y17" s="469" t="s">
        <v>7</v>
      </c>
      <c r="Z17" s="469" t="s">
        <v>7</v>
      </c>
      <c r="AA17" s="469" t="s">
        <v>7</v>
      </c>
      <c r="AB17" s="469" t="s">
        <v>7</v>
      </c>
      <c r="AC17" s="469" t="s">
        <v>7</v>
      </c>
      <c r="AD17" s="469" t="s">
        <v>7</v>
      </c>
      <c r="AE17" s="469" t="s">
        <v>7</v>
      </c>
      <c r="AF17" s="469" t="s">
        <v>7</v>
      </c>
      <c r="AG17" s="469" t="s">
        <v>7</v>
      </c>
      <c r="AH17" s="469" t="s">
        <v>7</v>
      </c>
      <c r="AI17" s="469" t="s">
        <v>7</v>
      </c>
      <c r="AJ17" s="469" t="s">
        <v>7</v>
      </c>
      <c r="AK17" s="469" t="s">
        <v>7</v>
      </c>
      <c r="AL17" s="469" t="s">
        <v>7</v>
      </c>
      <c r="AM17" s="211">
        <f t="shared" si="0"/>
        <v>0</v>
      </c>
      <c r="AN17" s="212">
        <f t="shared" si="1"/>
        <v>0</v>
      </c>
      <c r="AO17" s="210">
        <f t="shared" si="2"/>
        <v>0</v>
      </c>
      <c r="AP17" s="40"/>
      <c r="AR17" s="118"/>
      <c r="AS17" s="118"/>
      <c r="AT17" s="118"/>
      <c r="AU17" s="118"/>
      <c r="AV17" s="118"/>
      <c r="AW17" s="118"/>
      <c r="AX17" s="118"/>
      <c r="AY17" s="118"/>
      <c r="AZ17" s="118"/>
    </row>
    <row r="18" spans="1:52" ht="19.5" customHeight="1">
      <c r="A18" s="40"/>
      <c r="B18" s="588" t="s">
        <v>24</v>
      </c>
      <c r="C18" s="589"/>
      <c r="D18" s="590"/>
      <c r="E18" s="213">
        <v>0</v>
      </c>
      <c r="F18" s="214">
        <v>0</v>
      </c>
      <c r="G18" s="214">
        <v>0</v>
      </c>
      <c r="H18" s="214">
        <v>0</v>
      </c>
      <c r="I18" s="214">
        <v>1</v>
      </c>
      <c r="J18" s="214">
        <v>0</v>
      </c>
      <c r="K18" s="214">
        <v>0</v>
      </c>
      <c r="L18" s="214">
        <v>0</v>
      </c>
      <c r="M18" s="214">
        <v>0</v>
      </c>
      <c r="N18" s="214">
        <v>0</v>
      </c>
      <c r="O18" s="214">
        <v>1</v>
      </c>
      <c r="P18" s="214">
        <v>0</v>
      </c>
      <c r="Q18" s="214">
        <v>0</v>
      </c>
      <c r="R18" s="214">
        <v>0</v>
      </c>
      <c r="S18" s="214">
        <v>1</v>
      </c>
      <c r="T18" s="214">
        <v>0</v>
      </c>
      <c r="U18" s="214">
        <v>0</v>
      </c>
      <c r="V18" s="214">
        <v>0</v>
      </c>
      <c r="W18" s="214">
        <v>0</v>
      </c>
      <c r="X18" s="214">
        <v>0</v>
      </c>
      <c r="Y18" s="214">
        <v>0</v>
      </c>
      <c r="Z18" s="214">
        <v>0</v>
      </c>
      <c r="AA18" s="214">
        <v>0</v>
      </c>
      <c r="AB18" s="214">
        <v>0</v>
      </c>
      <c r="AC18" s="214">
        <v>0</v>
      </c>
      <c r="AD18" s="214">
        <v>0</v>
      </c>
      <c r="AE18" s="214">
        <v>0</v>
      </c>
      <c r="AF18" s="214">
        <v>0</v>
      </c>
      <c r="AG18" s="214">
        <v>0</v>
      </c>
      <c r="AH18" s="214">
        <v>0</v>
      </c>
      <c r="AI18" s="214">
        <v>0</v>
      </c>
      <c r="AJ18" s="215">
        <v>0</v>
      </c>
      <c r="AK18" s="215">
        <v>0</v>
      </c>
      <c r="AL18" s="215">
        <v>0</v>
      </c>
      <c r="AM18" s="216" t="s">
        <v>7</v>
      </c>
      <c r="AN18" s="217">
        <f t="shared" si="1"/>
        <v>8.8235294117647065E-2</v>
      </c>
      <c r="AO18" s="218">
        <f t="shared" si="2"/>
        <v>3</v>
      </c>
      <c r="AP18" s="40"/>
      <c r="AR18" s="118"/>
      <c r="AS18" s="118"/>
      <c r="AT18" s="118"/>
      <c r="AU18" s="118"/>
      <c r="AV18" s="118"/>
      <c r="AW18" s="118"/>
      <c r="AX18" s="118"/>
      <c r="AY18" s="118"/>
      <c r="AZ18" s="118"/>
    </row>
    <row r="19" spans="1:52" ht="19.5" customHeight="1">
      <c r="A19" s="40"/>
      <c r="B19" s="598" t="s">
        <v>25</v>
      </c>
      <c r="C19" s="599"/>
      <c r="D19" s="600"/>
      <c r="E19" s="219">
        <v>0</v>
      </c>
      <c r="F19" s="219">
        <v>0</v>
      </c>
      <c r="G19" s="219">
        <v>1</v>
      </c>
      <c r="H19" s="219">
        <v>1</v>
      </c>
      <c r="I19" s="219">
        <v>2</v>
      </c>
      <c r="J19" s="219">
        <v>1</v>
      </c>
      <c r="K19" s="219">
        <v>0</v>
      </c>
      <c r="L19" s="219">
        <v>0</v>
      </c>
      <c r="M19" s="219">
        <v>1</v>
      </c>
      <c r="N19" s="219">
        <v>1</v>
      </c>
      <c r="O19" s="219">
        <v>1</v>
      </c>
      <c r="P19" s="219">
        <v>1</v>
      </c>
      <c r="Q19" s="219">
        <v>2</v>
      </c>
      <c r="R19" s="219">
        <v>0</v>
      </c>
      <c r="S19" s="219">
        <v>1</v>
      </c>
      <c r="T19" s="219">
        <v>1</v>
      </c>
      <c r="U19" s="219">
        <v>2</v>
      </c>
      <c r="V19" s="219">
        <v>2</v>
      </c>
      <c r="W19" s="219">
        <v>2</v>
      </c>
      <c r="X19" s="219">
        <v>1</v>
      </c>
      <c r="Y19" s="219">
        <v>0</v>
      </c>
      <c r="Z19" s="219">
        <v>0</v>
      </c>
      <c r="AA19" s="219">
        <v>0</v>
      </c>
      <c r="AB19" s="219">
        <v>1</v>
      </c>
      <c r="AC19" s="219">
        <v>1</v>
      </c>
      <c r="AD19" s="219">
        <v>4</v>
      </c>
      <c r="AE19" s="219">
        <v>1</v>
      </c>
      <c r="AF19" s="219">
        <v>2</v>
      </c>
      <c r="AG19" s="219">
        <v>4</v>
      </c>
      <c r="AH19" s="219">
        <v>3</v>
      </c>
      <c r="AI19" s="219">
        <v>1</v>
      </c>
      <c r="AJ19" s="220">
        <v>0</v>
      </c>
      <c r="AK19" s="220">
        <v>0</v>
      </c>
      <c r="AL19" s="220">
        <v>1</v>
      </c>
      <c r="AM19" s="220" t="s">
        <v>7</v>
      </c>
      <c r="AN19" s="221">
        <f t="shared" si="1"/>
        <v>1.1176470588235294</v>
      </c>
      <c r="AO19" s="222">
        <f t="shared" si="2"/>
        <v>38</v>
      </c>
      <c r="AP19" s="40"/>
      <c r="AR19" s="118"/>
      <c r="AS19" s="118">
        <f>AS20/16</f>
        <v>44.0625</v>
      </c>
      <c r="AT19" s="118">
        <f>AT20/7</f>
        <v>47.142857142857146</v>
      </c>
      <c r="AU19" s="118">
        <f>AU20/7</f>
        <v>155</v>
      </c>
      <c r="AV19" s="118">
        <f>AV20/5</f>
        <v>215</v>
      </c>
      <c r="AW19" s="118"/>
      <c r="AX19" s="118"/>
      <c r="AY19" s="118"/>
      <c r="AZ19" s="118"/>
    </row>
    <row r="20" spans="1:52" ht="21" customHeight="1" thickBot="1">
      <c r="A20" s="40"/>
      <c r="B20" s="595" t="s">
        <v>26</v>
      </c>
      <c r="C20" s="596"/>
      <c r="D20" s="597"/>
      <c r="E20" s="53">
        <v>40</v>
      </c>
      <c r="F20" s="53">
        <v>5</v>
      </c>
      <c r="G20" s="53">
        <v>30</v>
      </c>
      <c r="H20" s="53">
        <v>55</v>
      </c>
      <c r="I20" s="53">
        <v>200</v>
      </c>
      <c r="J20" s="53">
        <v>70</v>
      </c>
      <c r="K20" s="53">
        <v>60</v>
      </c>
      <c r="L20" s="53">
        <v>10</v>
      </c>
      <c r="M20" s="53">
        <v>65</v>
      </c>
      <c r="N20" s="53">
        <v>85</v>
      </c>
      <c r="O20" s="53">
        <v>225</v>
      </c>
      <c r="P20" s="53">
        <v>20</v>
      </c>
      <c r="Q20" s="53">
        <v>70</v>
      </c>
      <c r="R20" s="53">
        <v>5</v>
      </c>
      <c r="S20" s="53">
        <v>585</v>
      </c>
      <c r="T20" s="53">
        <v>85</v>
      </c>
      <c r="U20" s="53">
        <v>105</v>
      </c>
      <c r="V20" s="53">
        <v>70</v>
      </c>
      <c r="W20" s="53">
        <v>175</v>
      </c>
      <c r="X20" s="53">
        <v>120</v>
      </c>
      <c r="Y20" s="53">
        <v>25</v>
      </c>
      <c r="Z20" s="53">
        <v>35</v>
      </c>
      <c r="AA20" s="53">
        <v>25</v>
      </c>
      <c r="AB20" s="53">
        <v>155</v>
      </c>
      <c r="AC20" s="53">
        <v>60</v>
      </c>
      <c r="AD20" s="53">
        <v>125</v>
      </c>
      <c r="AE20" s="53">
        <v>55</v>
      </c>
      <c r="AF20" s="53">
        <v>140</v>
      </c>
      <c r="AG20" s="53">
        <v>515</v>
      </c>
      <c r="AH20" s="53">
        <v>115</v>
      </c>
      <c r="AI20" s="53">
        <v>25</v>
      </c>
      <c r="AJ20" s="54">
        <v>10</v>
      </c>
      <c r="AK20" s="54">
        <v>70</v>
      </c>
      <c r="AL20" s="53">
        <v>85</v>
      </c>
      <c r="AM20" s="55" t="s">
        <v>7</v>
      </c>
      <c r="AN20" s="223">
        <f t="shared" si="1"/>
        <v>103.52941176470588</v>
      </c>
      <c r="AO20" s="56">
        <f t="shared" si="2"/>
        <v>3520</v>
      </c>
      <c r="AP20" s="40"/>
      <c r="AR20" s="118"/>
      <c r="AS20" s="120">
        <f>SUM(F58:H58,J58,L58,M58,P58,Q58,R58,U58,V58,Y58,AD58,AE58,AH58,AI58)</f>
        <v>705</v>
      </c>
      <c r="AT20" s="120">
        <f>SUM(E58,I58,N58,T58,AA58,AC58,AF58)</f>
        <v>330</v>
      </c>
      <c r="AU20" s="120">
        <f>SUM(K58,O58,W58,Z58,AJ58,AK58,AL58)</f>
        <v>1085</v>
      </c>
      <c r="AV20" s="120">
        <f>SUM(S58,X58,AB58,AG58)</f>
        <v>1075</v>
      </c>
      <c r="AW20" s="120"/>
      <c r="AX20" s="118"/>
      <c r="AY20" s="118"/>
      <c r="AZ20" s="118"/>
    </row>
    <row r="21" spans="1:52" ht="12.75" customHeight="1" thickBot="1">
      <c r="A21" s="40"/>
      <c r="B21" s="57"/>
      <c r="C21" s="291"/>
      <c r="D21" s="58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60"/>
      <c r="AO21" s="61"/>
      <c r="AP21" s="40"/>
      <c r="AR21" s="118"/>
      <c r="AS21" s="120"/>
      <c r="AT21" s="120"/>
      <c r="AU21" s="120"/>
      <c r="AV21" s="120"/>
      <c r="AW21" s="120"/>
      <c r="AX21" s="118"/>
      <c r="AY21" s="118"/>
      <c r="AZ21" s="118"/>
    </row>
    <row r="22" spans="1:52" ht="27" thickBot="1">
      <c r="A22" s="40"/>
      <c r="B22" s="591" t="s">
        <v>8</v>
      </c>
      <c r="C22" s="592"/>
      <c r="D22" s="592"/>
      <c r="E22" s="568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569"/>
      <c r="AA22" s="569"/>
      <c r="AB22" s="569"/>
      <c r="AC22" s="569"/>
      <c r="AD22" s="569"/>
      <c r="AE22" s="569"/>
      <c r="AF22" s="569"/>
      <c r="AG22" s="569"/>
      <c r="AH22" s="569"/>
      <c r="AI22" s="226">
        <v>0</v>
      </c>
      <c r="AJ22" s="227">
        <v>1</v>
      </c>
      <c r="AK22" s="228">
        <v>1</v>
      </c>
      <c r="AL22" s="233">
        <v>10</v>
      </c>
      <c r="AM22" s="675" t="s">
        <v>2017</v>
      </c>
      <c r="AN22" s="676"/>
      <c r="AO22" s="677"/>
      <c r="AP22" s="40"/>
      <c r="AR22" s="121"/>
      <c r="AS22" s="121"/>
      <c r="AT22" s="121"/>
      <c r="AU22" s="121"/>
      <c r="AV22" s="121"/>
      <c r="AW22" s="121"/>
      <c r="AX22" s="121"/>
      <c r="AY22" s="118"/>
      <c r="AZ22" s="118"/>
    </row>
    <row r="23" spans="1:52" ht="13.5" customHeight="1">
      <c r="A23" s="40"/>
      <c r="B23" s="603" t="s">
        <v>16</v>
      </c>
      <c r="C23" s="604"/>
      <c r="D23" s="605"/>
      <c r="E23" s="62">
        <v>1</v>
      </c>
      <c r="F23" s="62">
        <v>2</v>
      </c>
      <c r="G23" s="62">
        <v>3</v>
      </c>
      <c r="H23" s="62">
        <v>4</v>
      </c>
      <c r="I23" s="62">
        <v>5</v>
      </c>
      <c r="J23" s="62">
        <v>6</v>
      </c>
      <c r="K23" s="62">
        <v>7</v>
      </c>
      <c r="L23" s="62">
        <v>8</v>
      </c>
      <c r="M23" s="62">
        <v>9</v>
      </c>
      <c r="N23" s="62">
        <v>10</v>
      </c>
      <c r="O23" s="62">
        <v>11</v>
      </c>
      <c r="P23" s="62">
        <v>12</v>
      </c>
      <c r="Q23" s="62">
        <v>13</v>
      </c>
      <c r="R23" s="62">
        <v>14</v>
      </c>
      <c r="S23" s="62">
        <v>15</v>
      </c>
      <c r="T23" s="62">
        <v>16</v>
      </c>
      <c r="U23" s="62">
        <v>17</v>
      </c>
      <c r="V23" s="63">
        <v>18</v>
      </c>
      <c r="W23" s="63">
        <v>19</v>
      </c>
      <c r="X23" s="63">
        <v>20</v>
      </c>
      <c r="Y23" s="63">
        <v>21</v>
      </c>
      <c r="Z23" s="63">
        <v>22</v>
      </c>
      <c r="AA23" s="63">
        <v>23</v>
      </c>
      <c r="AB23" s="63">
        <v>24</v>
      </c>
      <c r="AC23" s="63">
        <v>25</v>
      </c>
      <c r="AD23" s="63">
        <v>26</v>
      </c>
      <c r="AE23" s="63">
        <v>27</v>
      </c>
      <c r="AF23" s="63">
        <v>28</v>
      </c>
      <c r="AG23" s="63">
        <v>29</v>
      </c>
      <c r="AH23" s="63">
        <v>30</v>
      </c>
      <c r="AI23" s="63">
        <v>31</v>
      </c>
      <c r="AJ23" s="63">
        <v>32</v>
      </c>
      <c r="AK23" s="63">
        <v>33</v>
      </c>
      <c r="AL23" s="63">
        <v>34</v>
      </c>
      <c r="AM23" s="731" t="s">
        <v>17</v>
      </c>
      <c r="AN23" s="669" t="s">
        <v>18</v>
      </c>
      <c r="AO23" s="667" t="s">
        <v>19</v>
      </c>
      <c r="AP23" s="40"/>
      <c r="AR23" s="118"/>
      <c r="AS23" s="120"/>
      <c r="AT23" s="120"/>
      <c r="AU23" s="120"/>
      <c r="AV23" s="120"/>
      <c r="AW23" s="120"/>
      <c r="AX23" s="118"/>
      <c r="AY23" s="118"/>
      <c r="AZ23" s="118"/>
    </row>
    <row r="24" spans="1:52" ht="13.5" customHeight="1" thickBot="1">
      <c r="A24" s="40"/>
      <c r="B24" s="606"/>
      <c r="C24" s="607"/>
      <c r="D24" s="608"/>
      <c r="E24" s="82" t="s">
        <v>21</v>
      </c>
      <c r="F24" s="82" t="s">
        <v>20</v>
      </c>
      <c r="G24" s="82" t="s">
        <v>20</v>
      </c>
      <c r="H24" s="82" t="s">
        <v>20</v>
      </c>
      <c r="I24" s="82" t="s">
        <v>21</v>
      </c>
      <c r="J24" s="82" t="s">
        <v>20</v>
      </c>
      <c r="K24" s="82" t="s">
        <v>22</v>
      </c>
      <c r="L24" s="82" t="s">
        <v>20</v>
      </c>
      <c r="M24" s="82" t="s">
        <v>20</v>
      </c>
      <c r="N24" s="82" t="s">
        <v>21</v>
      </c>
      <c r="O24" s="82" t="s">
        <v>22</v>
      </c>
      <c r="P24" s="82" t="s">
        <v>20</v>
      </c>
      <c r="Q24" s="82" t="s">
        <v>20</v>
      </c>
      <c r="R24" s="82" t="s">
        <v>20</v>
      </c>
      <c r="S24" s="82" t="s">
        <v>23</v>
      </c>
      <c r="T24" s="82" t="s">
        <v>21</v>
      </c>
      <c r="U24" s="82" t="s">
        <v>20</v>
      </c>
      <c r="V24" s="82" t="s">
        <v>20</v>
      </c>
      <c r="W24" s="82" t="s">
        <v>22</v>
      </c>
      <c r="X24" s="82" t="s">
        <v>23</v>
      </c>
      <c r="Y24" s="82" t="s">
        <v>20</v>
      </c>
      <c r="Z24" s="82" t="s">
        <v>22</v>
      </c>
      <c r="AA24" s="82" t="s">
        <v>21</v>
      </c>
      <c r="AB24" s="82" t="s">
        <v>23</v>
      </c>
      <c r="AC24" s="82" t="s">
        <v>21</v>
      </c>
      <c r="AD24" s="82" t="s">
        <v>20</v>
      </c>
      <c r="AE24" s="82" t="s">
        <v>20</v>
      </c>
      <c r="AF24" s="82" t="s">
        <v>21</v>
      </c>
      <c r="AG24" s="82" t="s">
        <v>23</v>
      </c>
      <c r="AH24" s="82" t="s">
        <v>20</v>
      </c>
      <c r="AI24" s="82" t="s">
        <v>20</v>
      </c>
      <c r="AJ24" s="82" t="s">
        <v>22</v>
      </c>
      <c r="AK24" s="82" t="s">
        <v>22</v>
      </c>
      <c r="AL24" s="82" t="s">
        <v>22</v>
      </c>
      <c r="AM24" s="732"/>
      <c r="AN24" s="670"/>
      <c r="AO24" s="668"/>
      <c r="AP24" s="40"/>
      <c r="AR24" s="118"/>
      <c r="AS24" s="120"/>
      <c r="AT24" s="120"/>
      <c r="AU24" s="120"/>
      <c r="AV24" s="120"/>
      <c r="AW24" s="120"/>
      <c r="AX24" s="118"/>
      <c r="AY24" s="118"/>
      <c r="AZ24" s="118"/>
    </row>
    <row r="25" spans="1:52" ht="16.5" customHeight="1">
      <c r="A25" s="40"/>
      <c r="B25" s="80">
        <v>1</v>
      </c>
      <c r="C25" s="292" t="s">
        <v>111</v>
      </c>
      <c r="D25" s="427" t="s">
        <v>2074</v>
      </c>
      <c r="E25" s="436">
        <v>70</v>
      </c>
      <c r="F25" s="469" t="s">
        <v>7</v>
      </c>
      <c r="G25" s="469" t="s">
        <v>7</v>
      </c>
      <c r="H25" s="469" t="s">
        <v>7</v>
      </c>
      <c r="I25" s="437">
        <v>10</v>
      </c>
      <c r="J25" s="469" t="s">
        <v>7</v>
      </c>
      <c r="K25" s="437">
        <v>15</v>
      </c>
      <c r="L25" s="469" t="s">
        <v>7</v>
      </c>
      <c r="M25" s="469" t="s">
        <v>7</v>
      </c>
      <c r="N25" s="437">
        <v>70</v>
      </c>
      <c r="O25" s="437">
        <v>40</v>
      </c>
      <c r="P25" s="469" t="s">
        <v>7</v>
      </c>
      <c r="Q25" s="469" t="s">
        <v>7</v>
      </c>
      <c r="R25" s="469" t="s">
        <v>7</v>
      </c>
      <c r="S25" s="437">
        <v>40</v>
      </c>
      <c r="T25" s="437">
        <v>0</v>
      </c>
      <c r="U25" s="437">
        <v>0</v>
      </c>
      <c r="V25" s="476" t="s">
        <v>7</v>
      </c>
      <c r="W25" s="208">
        <v>15</v>
      </c>
      <c r="X25" s="437">
        <v>15</v>
      </c>
      <c r="Y25" s="476" t="s">
        <v>7</v>
      </c>
      <c r="Z25" s="208">
        <v>15</v>
      </c>
      <c r="AA25" s="476" t="s">
        <v>7</v>
      </c>
      <c r="AB25" s="437">
        <v>20</v>
      </c>
      <c r="AC25" s="208">
        <v>5</v>
      </c>
      <c r="AD25" s="208">
        <v>20</v>
      </c>
      <c r="AE25" s="476" t="s">
        <v>7</v>
      </c>
      <c r="AF25" s="437">
        <v>0</v>
      </c>
      <c r="AG25" s="476">
        <v>0</v>
      </c>
      <c r="AH25" s="476" t="s">
        <v>7</v>
      </c>
      <c r="AI25" s="476" t="s">
        <v>7</v>
      </c>
      <c r="AJ25" s="437">
        <v>15</v>
      </c>
      <c r="AK25" s="440">
        <v>10</v>
      </c>
      <c r="AL25" s="231">
        <v>15</v>
      </c>
      <c r="AM25" s="205">
        <f t="shared" ref="AM25:AM36" si="3">COUNT(E25:AL25)</f>
        <v>19</v>
      </c>
      <c r="AN25" s="206">
        <f t="shared" ref="AN25:AN39" si="4">IF(ISERROR(AVERAGE(E25:AL25)),0,(AVERAGE(E25:AL25)))</f>
        <v>19.736842105263158</v>
      </c>
      <c r="AO25" s="207">
        <f t="shared" ref="AO25:AO39" si="5">SUM(E25:AL25)</f>
        <v>375</v>
      </c>
      <c r="AP25" s="40"/>
      <c r="AR25" s="118"/>
      <c r="AS25" s="120"/>
      <c r="AT25" s="120"/>
      <c r="AU25" s="120"/>
      <c r="AV25" s="120"/>
      <c r="AW25" s="120"/>
      <c r="AX25" s="118"/>
      <c r="AY25" s="118"/>
      <c r="AZ25" s="118"/>
    </row>
    <row r="26" spans="1:52" ht="16.5" customHeight="1">
      <c r="A26" s="40"/>
      <c r="B26" s="81">
        <v>2</v>
      </c>
      <c r="C26" s="293" t="s">
        <v>111</v>
      </c>
      <c r="D26" s="428" t="s">
        <v>2075</v>
      </c>
      <c r="E26" s="436">
        <v>20</v>
      </c>
      <c r="F26" s="469" t="s">
        <v>7</v>
      </c>
      <c r="G26" s="469">
        <v>0</v>
      </c>
      <c r="H26" s="437">
        <v>0</v>
      </c>
      <c r="I26" s="437">
        <v>20</v>
      </c>
      <c r="J26" s="469" t="s">
        <v>7</v>
      </c>
      <c r="K26" s="437">
        <v>50</v>
      </c>
      <c r="L26" s="469" t="s">
        <v>7</v>
      </c>
      <c r="M26" s="469" t="s">
        <v>7</v>
      </c>
      <c r="N26" s="437">
        <v>5</v>
      </c>
      <c r="O26" s="437">
        <v>0</v>
      </c>
      <c r="P26" s="469" t="s">
        <v>7</v>
      </c>
      <c r="Q26" s="437">
        <v>5</v>
      </c>
      <c r="R26" s="437">
        <v>0</v>
      </c>
      <c r="S26" s="437">
        <v>0</v>
      </c>
      <c r="T26" s="437">
        <v>5</v>
      </c>
      <c r="U26" s="469" t="s">
        <v>7</v>
      </c>
      <c r="V26" s="469" t="s">
        <v>7</v>
      </c>
      <c r="W26" s="437">
        <v>30</v>
      </c>
      <c r="X26" s="437">
        <v>20</v>
      </c>
      <c r="Y26" s="469" t="s">
        <v>7</v>
      </c>
      <c r="Z26" s="437">
        <v>10</v>
      </c>
      <c r="AA26" s="469" t="s">
        <v>7</v>
      </c>
      <c r="AB26" s="232">
        <v>15</v>
      </c>
      <c r="AC26" s="437">
        <v>0</v>
      </c>
      <c r="AD26" s="469" t="s">
        <v>7</v>
      </c>
      <c r="AE26" s="469" t="s">
        <v>7</v>
      </c>
      <c r="AF26" s="469" t="s">
        <v>7</v>
      </c>
      <c r="AG26" s="230">
        <v>0</v>
      </c>
      <c r="AH26" s="437">
        <v>0</v>
      </c>
      <c r="AI26" s="437">
        <v>5</v>
      </c>
      <c r="AJ26" s="232">
        <v>0</v>
      </c>
      <c r="AK26" s="531" t="s">
        <v>7</v>
      </c>
      <c r="AL26" s="531" t="s">
        <v>7</v>
      </c>
      <c r="AM26" s="208">
        <f t="shared" si="3"/>
        <v>20</v>
      </c>
      <c r="AN26" s="209">
        <f t="shared" si="4"/>
        <v>9.25</v>
      </c>
      <c r="AO26" s="210">
        <f t="shared" si="5"/>
        <v>185</v>
      </c>
      <c r="AP26" s="40"/>
      <c r="AR26" s="118"/>
      <c r="AS26" s="120"/>
      <c r="AT26" s="120"/>
      <c r="AU26" s="120"/>
      <c r="AV26" s="120"/>
      <c r="AW26" s="120"/>
      <c r="AX26" s="118"/>
      <c r="AY26" s="118"/>
      <c r="AZ26" s="118"/>
    </row>
    <row r="27" spans="1:52" ht="16.5" customHeight="1">
      <c r="A27" s="40"/>
      <c r="B27" s="81">
        <v>3</v>
      </c>
      <c r="C27" s="293" t="s">
        <v>111</v>
      </c>
      <c r="D27" s="428" t="s">
        <v>2119</v>
      </c>
      <c r="E27" s="436">
        <v>30</v>
      </c>
      <c r="F27" s="437">
        <v>5</v>
      </c>
      <c r="G27" s="469" t="s">
        <v>7</v>
      </c>
      <c r="H27" s="437">
        <v>0</v>
      </c>
      <c r="I27" s="437">
        <v>5</v>
      </c>
      <c r="J27" s="437">
        <v>20</v>
      </c>
      <c r="K27" s="437">
        <v>90</v>
      </c>
      <c r="L27" s="469" t="s">
        <v>7</v>
      </c>
      <c r="M27" s="469" t="s">
        <v>7</v>
      </c>
      <c r="N27" s="437">
        <v>0</v>
      </c>
      <c r="O27" s="437">
        <v>0</v>
      </c>
      <c r="P27" s="469" t="s">
        <v>7</v>
      </c>
      <c r="Q27" s="437">
        <v>5</v>
      </c>
      <c r="R27" s="437">
        <v>35</v>
      </c>
      <c r="S27" s="437">
        <v>15</v>
      </c>
      <c r="T27" s="437">
        <v>60</v>
      </c>
      <c r="U27" s="469" t="s">
        <v>7</v>
      </c>
      <c r="V27" s="469" t="s">
        <v>7</v>
      </c>
      <c r="W27" s="437">
        <v>0</v>
      </c>
      <c r="X27" s="437">
        <v>15</v>
      </c>
      <c r="Y27" s="437">
        <v>0</v>
      </c>
      <c r="Z27" s="437">
        <v>50</v>
      </c>
      <c r="AA27" s="469" t="s">
        <v>7</v>
      </c>
      <c r="AB27" s="437">
        <v>15</v>
      </c>
      <c r="AC27" s="469">
        <v>10</v>
      </c>
      <c r="AD27" s="469" t="s">
        <v>7</v>
      </c>
      <c r="AE27" s="469" t="s">
        <v>7</v>
      </c>
      <c r="AF27" s="437">
        <v>10</v>
      </c>
      <c r="AG27" s="232">
        <v>20</v>
      </c>
      <c r="AH27" s="437">
        <v>0</v>
      </c>
      <c r="AI27" s="469" t="s">
        <v>7</v>
      </c>
      <c r="AJ27" s="437">
        <v>10</v>
      </c>
      <c r="AK27" s="441">
        <v>70</v>
      </c>
      <c r="AL27" s="231">
        <v>15</v>
      </c>
      <c r="AM27" s="208">
        <f t="shared" si="3"/>
        <v>24</v>
      </c>
      <c r="AN27" s="209">
        <f t="shared" si="4"/>
        <v>20</v>
      </c>
      <c r="AO27" s="210">
        <f t="shared" si="5"/>
        <v>480</v>
      </c>
      <c r="AP27" s="40"/>
      <c r="AR27" s="118"/>
      <c r="AS27" s="120"/>
      <c r="AT27" s="120"/>
      <c r="AU27" s="120"/>
      <c r="AV27" s="120"/>
      <c r="AW27" s="120"/>
      <c r="AX27" s="118"/>
      <c r="AY27" s="118"/>
      <c r="AZ27" s="118"/>
    </row>
    <row r="28" spans="1:52" ht="16.5" customHeight="1">
      <c r="A28" s="40"/>
      <c r="B28" s="81">
        <v>4</v>
      </c>
      <c r="C28" s="293" t="s">
        <v>111</v>
      </c>
      <c r="D28" s="428" t="s">
        <v>2128</v>
      </c>
      <c r="E28" s="436">
        <v>30</v>
      </c>
      <c r="F28" s="437">
        <v>5</v>
      </c>
      <c r="G28" s="437">
        <v>5</v>
      </c>
      <c r="H28" s="469" t="s">
        <v>7</v>
      </c>
      <c r="I28" s="437">
        <v>10</v>
      </c>
      <c r="J28" s="437">
        <v>0</v>
      </c>
      <c r="K28" s="469">
        <v>0</v>
      </c>
      <c r="L28" s="469" t="s">
        <v>7</v>
      </c>
      <c r="M28" s="437">
        <v>0</v>
      </c>
      <c r="N28" s="469">
        <v>5</v>
      </c>
      <c r="O28" s="469">
        <v>70</v>
      </c>
      <c r="P28" s="469" t="s">
        <v>7</v>
      </c>
      <c r="Q28" s="469" t="s">
        <v>7</v>
      </c>
      <c r="R28" s="437">
        <v>25</v>
      </c>
      <c r="S28" s="232">
        <v>40</v>
      </c>
      <c r="T28" s="437">
        <v>10</v>
      </c>
      <c r="U28" s="437">
        <v>5</v>
      </c>
      <c r="V28" s="469" t="s">
        <v>7</v>
      </c>
      <c r="W28" s="437">
        <v>0</v>
      </c>
      <c r="X28" s="232">
        <v>0</v>
      </c>
      <c r="Y28" s="437">
        <v>0</v>
      </c>
      <c r="Z28" s="469">
        <v>40</v>
      </c>
      <c r="AA28" s="469" t="s">
        <v>7</v>
      </c>
      <c r="AB28" s="469">
        <v>0</v>
      </c>
      <c r="AC28" s="469">
        <v>5</v>
      </c>
      <c r="AD28" s="469" t="s">
        <v>7</v>
      </c>
      <c r="AE28" s="469" t="s">
        <v>7</v>
      </c>
      <c r="AF28" s="469">
        <v>0</v>
      </c>
      <c r="AG28" s="469">
        <v>0</v>
      </c>
      <c r="AH28" s="437">
        <v>0</v>
      </c>
      <c r="AI28" s="469" t="s">
        <v>7</v>
      </c>
      <c r="AJ28" s="531">
        <v>0</v>
      </c>
      <c r="AK28" s="441">
        <v>10</v>
      </c>
      <c r="AL28" s="531" t="s">
        <v>7</v>
      </c>
      <c r="AM28" s="208">
        <f t="shared" si="3"/>
        <v>24</v>
      </c>
      <c r="AN28" s="209">
        <f t="shared" si="4"/>
        <v>10.833333333333334</v>
      </c>
      <c r="AO28" s="210">
        <f t="shared" si="5"/>
        <v>260</v>
      </c>
      <c r="AP28" s="40"/>
      <c r="AR28" s="118"/>
      <c r="AS28" s="120"/>
      <c r="AT28" s="120"/>
      <c r="AU28" s="120"/>
      <c r="AV28" s="120"/>
      <c r="AW28" s="120"/>
      <c r="AX28" s="118"/>
      <c r="AY28" s="118"/>
      <c r="AZ28" s="118"/>
    </row>
    <row r="29" spans="1:52" ht="16.5" customHeight="1">
      <c r="A29" s="40"/>
      <c r="B29" s="81">
        <v>5</v>
      </c>
      <c r="C29" s="293" t="s">
        <v>130</v>
      </c>
      <c r="D29" s="428" t="s">
        <v>2133</v>
      </c>
      <c r="E29" s="437">
        <v>20</v>
      </c>
      <c r="F29" s="469">
        <v>5</v>
      </c>
      <c r="G29" s="438">
        <v>75</v>
      </c>
      <c r="H29" s="469" t="s">
        <v>7</v>
      </c>
      <c r="I29" s="230">
        <v>30</v>
      </c>
      <c r="J29" s="437">
        <v>15</v>
      </c>
      <c r="K29" s="437">
        <v>0</v>
      </c>
      <c r="L29" s="469" t="s">
        <v>7</v>
      </c>
      <c r="M29" s="437">
        <v>15</v>
      </c>
      <c r="N29" s="437">
        <v>40</v>
      </c>
      <c r="O29" s="437">
        <v>30</v>
      </c>
      <c r="P29" s="437">
        <v>5</v>
      </c>
      <c r="Q29" s="469" t="s">
        <v>7</v>
      </c>
      <c r="R29" s="469" t="s">
        <v>7</v>
      </c>
      <c r="S29" s="437">
        <v>0</v>
      </c>
      <c r="T29" s="437">
        <v>20</v>
      </c>
      <c r="U29" s="437">
        <v>15</v>
      </c>
      <c r="V29" s="469" t="s">
        <v>7</v>
      </c>
      <c r="W29" s="438">
        <v>150</v>
      </c>
      <c r="X29" s="437">
        <v>0</v>
      </c>
      <c r="Y29" s="469" t="s">
        <v>7</v>
      </c>
      <c r="Z29" s="437">
        <v>70</v>
      </c>
      <c r="AA29" s="469" t="s">
        <v>7</v>
      </c>
      <c r="AB29" s="469">
        <v>0</v>
      </c>
      <c r="AC29" s="437">
        <v>5</v>
      </c>
      <c r="AD29" s="469" t="s">
        <v>7</v>
      </c>
      <c r="AE29" s="469" t="s">
        <v>7</v>
      </c>
      <c r="AF29" s="437">
        <v>30</v>
      </c>
      <c r="AG29" s="231">
        <v>0</v>
      </c>
      <c r="AH29" s="469" t="s">
        <v>7</v>
      </c>
      <c r="AI29" s="469" t="s">
        <v>7</v>
      </c>
      <c r="AJ29" s="437">
        <v>15</v>
      </c>
      <c r="AK29" s="469" t="s">
        <v>7</v>
      </c>
      <c r="AL29" s="441">
        <v>10</v>
      </c>
      <c r="AM29" s="208">
        <f t="shared" si="3"/>
        <v>22</v>
      </c>
      <c r="AN29" s="209">
        <f t="shared" si="4"/>
        <v>25</v>
      </c>
      <c r="AO29" s="210">
        <f t="shared" si="5"/>
        <v>550</v>
      </c>
      <c r="AP29" s="40"/>
      <c r="AR29" s="118"/>
      <c r="AS29" s="120"/>
      <c r="AT29" s="120"/>
      <c r="AU29" s="120"/>
      <c r="AV29" s="120"/>
      <c r="AW29" s="120"/>
      <c r="AX29" s="118"/>
      <c r="AY29" s="118"/>
      <c r="AZ29" s="118"/>
    </row>
    <row r="30" spans="1:52" ht="16.5" customHeight="1">
      <c r="A30" s="40"/>
      <c r="B30" s="81">
        <v>6</v>
      </c>
      <c r="C30" s="293" t="s">
        <v>111</v>
      </c>
      <c r="D30" s="428" t="s">
        <v>2147</v>
      </c>
      <c r="E30" s="466" t="s">
        <v>7</v>
      </c>
      <c r="F30" s="469">
        <v>0</v>
      </c>
      <c r="G30" s="437">
        <v>5</v>
      </c>
      <c r="H30" s="438">
        <v>75</v>
      </c>
      <c r="I30" s="469">
        <v>0</v>
      </c>
      <c r="J30" s="469" t="s">
        <v>7</v>
      </c>
      <c r="K30" s="437">
        <v>15</v>
      </c>
      <c r="L30" s="469" t="s">
        <v>7</v>
      </c>
      <c r="M30" s="469" t="s">
        <v>7</v>
      </c>
      <c r="N30" s="437">
        <v>0</v>
      </c>
      <c r="O30" s="469">
        <v>10</v>
      </c>
      <c r="P30" s="469" t="s">
        <v>7</v>
      </c>
      <c r="Q30" s="437">
        <v>10</v>
      </c>
      <c r="R30" s="469" t="s">
        <v>7</v>
      </c>
      <c r="S30" s="469">
        <v>40</v>
      </c>
      <c r="T30" s="469">
        <v>0</v>
      </c>
      <c r="U30" s="469" t="s">
        <v>7</v>
      </c>
      <c r="V30" s="469" t="s">
        <v>7</v>
      </c>
      <c r="W30" s="469">
        <v>30</v>
      </c>
      <c r="X30" s="469">
        <v>140</v>
      </c>
      <c r="Y30" s="437">
        <v>0</v>
      </c>
      <c r="Z30" s="437">
        <v>30</v>
      </c>
      <c r="AA30" s="469" t="s">
        <v>7</v>
      </c>
      <c r="AB30" s="437">
        <v>0</v>
      </c>
      <c r="AC30" s="437">
        <v>50</v>
      </c>
      <c r="AD30" s="469" t="s">
        <v>7</v>
      </c>
      <c r="AE30" s="469" t="s">
        <v>7</v>
      </c>
      <c r="AF30" s="437">
        <v>10</v>
      </c>
      <c r="AG30" s="437">
        <v>140</v>
      </c>
      <c r="AH30" s="469" t="s">
        <v>7</v>
      </c>
      <c r="AI30" s="469" t="s">
        <v>7</v>
      </c>
      <c r="AJ30" s="441">
        <v>10</v>
      </c>
      <c r="AK30" s="437">
        <v>30</v>
      </c>
      <c r="AL30" s="441">
        <v>30</v>
      </c>
      <c r="AM30" s="208">
        <f t="shared" si="3"/>
        <v>21</v>
      </c>
      <c r="AN30" s="209">
        <f t="shared" si="4"/>
        <v>29.761904761904763</v>
      </c>
      <c r="AO30" s="210">
        <f t="shared" si="5"/>
        <v>625</v>
      </c>
      <c r="AP30" s="40"/>
      <c r="AR30" s="118"/>
      <c r="AS30" s="120"/>
      <c r="AT30" s="120"/>
      <c r="AU30" s="120"/>
      <c r="AV30" s="120"/>
      <c r="AW30" s="120"/>
      <c r="AX30" s="118"/>
      <c r="AY30" s="118"/>
      <c r="AZ30" s="118"/>
    </row>
    <row r="31" spans="1:52" ht="16.5" customHeight="1">
      <c r="A31" s="40"/>
      <c r="B31" s="81">
        <v>7</v>
      </c>
      <c r="C31" s="293" t="s">
        <v>124</v>
      </c>
      <c r="D31" s="428" t="s">
        <v>2152</v>
      </c>
      <c r="E31" s="466">
        <v>5</v>
      </c>
      <c r="F31" s="437">
        <v>45</v>
      </c>
      <c r="G31" s="469">
        <v>0</v>
      </c>
      <c r="H31" s="469" t="s">
        <v>7</v>
      </c>
      <c r="I31" s="469">
        <v>0</v>
      </c>
      <c r="J31" s="437">
        <v>0</v>
      </c>
      <c r="K31" s="469">
        <v>10</v>
      </c>
      <c r="L31" s="469" t="s">
        <v>7</v>
      </c>
      <c r="M31" s="437">
        <v>0</v>
      </c>
      <c r="N31" s="469" t="s">
        <v>7</v>
      </c>
      <c r="O31" s="469">
        <v>0</v>
      </c>
      <c r="P31" s="437">
        <v>10</v>
      </c>
      <c r="Q31" s="437">
        <v>5</v>
      </c>
      <c r="R31" s="469" t="s">
        <v>7</v>
      </c>
      <c r="S31" s="469">
        <v>0</v>
      </c>
      <c r="T31" s="469" t="s">
        <v>7</v>
      </c>
      <c r="U31" s="469" t="s">
        <v>7</v>
      </c>
      <c r="V31" s="437">
        <v>10</v>
      </c>
      <c r="W31" s="469" t="s">
        <v>7</v>
      </c>
      <c r="X31" s="469">
        <v>15</v>
      </c>
      <c r="Y31" s="469">
        <v>0</v>
      </c>
      <c r="Z31" s="469" t="s">
        <v>7</v>
      </c>
      <c r="AA31" s="469" t="s">
        <v>7</v>
      </c>
      <c r="AB31" s="469">
        <v>0</v>
      </c>
      <c r="AC31" s="469" t="s">
        <v>7</v>
      </c>
      <c r="AD31" s="437">
        <v>20</v>
      </c>
      <c r="AE31" s="437">
        <v>0</v>
      </c>
      <c r="AF31" s="469">
        <v>10</v>
      </c>
      <c r="AG31" s="469">
        <v>0</v>
      </c>
      <c r="AH31" s="469" t="s">
        <v>7</v>
      </c>
      <c r="AI31" s="437">
        <v>10</v>
      </c>
      <c r="AJ31" s="469">
        <v>10</v>
      </c>
      <c r="AK31" s="469" t="s">
        <v>7</v>
      </c>
      <c r="AL31" s="469" t="s">
        <v>7</v>
      </c>
      <c r="AM31" s="208">
        <f t="shared" si="3"/>
        <v>21</v>
      </c>
      <c r="AN31" s="209">
        <f t="shared" si="4"/>
        <v>7.1428571428571432</v>
      </c>
      <c r="AO31" s="210">
        <f t="shared" si="5"/>
        <v>150</v>
      </c>
      <c r="AP31" s="40"/>
      <c r="AR31" s="118"/>
      <c r="AS31" s="120"/>
      <c r="AT31" s="120"/>
      <c r="AU31" s="120"/>
      <c r="AV31" s="120"/>
      <c r="AW31" s="120"/>
      <c r="AX31" s="118"/>
      <c r="AY31" s="118"/>
      <c r="AZ31" s="118"/>
    </row>
    <row r="32" spans="1:52" ht="16.5" customHeight="1">
      <c r="A32" s="40"/>
      <c r="B32" s="81">
        <v>8</v>
      </c>
      <c r="C32" s="293" t="s">
        <v>111</v>
      </c>
      <c r="D32" s="428" t="s">
        <v>2166</v>
      </c>
      <c r="E32" s="466" t="s">
        <v>7</v>
      </c>
      <c r="F32" s="437">
        <v>10</v>
      </c>
      <c r="G32" s="437">
        <v>15</v>
      </c>
      <c r="H32" s="469">
        <v>0</v>
      </c>
      <c r="I32" s="469">
        <v>0</v>
      </c>
      <c r="J32" s="469">
        <v>0</v>
      </c>
      <c r="K32" s="469">
        <v>0</v>
      </c>
      <c r="L32" s="469" t="s">
        <v>7</v>
      </c>
      <c r="M32" s="469">
        <v>0</v>
      </c>
      <c r="N32" s="469" t="s">
        <v>7</v>
      </c>
      <c r="O32" s="469">
        <v>0</v>
      </c>
      <c r="P32" s="437">
        <v>5</v>
      </c>
      <c r="Q32" s="437">
        <v>0</v>
      </c>
      <c r="R32" s="437">
        <v>0</v>
      </c>
      <c r="S32" s="469" t="s">
        <v>7</v>
      </c>
      <c r="T32" s="469" t="s">
        <v>7</v>
      </c>
      <c r="U32" s="469" t="s">
        <v>7</v>
      </c>
      <c r="V32" s="437">
        <v>25</v>
      </c>
      <c r="W32" s="469" t="s">
        <v>7</v>
      </c>
      <c r="X32" s="469" t="s">
        <v>7</v>
      </c>
      <c r="Y32" s="437">
        <v>5</v>
      </c>
      <c r="Z32" s="469" t="s">
        <v>7</v>
      </c>
      <c r="AA32" s="437">
        <v>5</v>
      </c>
      <c r="AB32" s="469">
        <v>0</v>
      </c>
      <c r="AC32" s="469" t="s">
        <v>7</v>
      </c>
      <c r="AD32" s="437">
        <v>15</v>
      </c>
      <c r="AE32" s="437">
        <v>5</v>
      </c>
      <c r="AF32" s="469" t="s">
        <v>7</v>
      </c>
      <c r="AG32" s="469" t="s">
        <v>7</v>
      </c>
      <c r="AH32" s="437">
        <v>0</v>
      </c>
      <c r="AI32" s="437">
        <v>35</v>
      </c>
      <c r="AJ32" s="469" t="s">
        <v>7</v>
      </c>
      <c r="AK32" s="469" t="s">
        <v>7</v>
      </c>
      <c r="AL32" s="531" t="s">
        <v>7</v>
      </c>
      <c r="AM32" s="208">
        <f t="shared" si="3"/>
        <v>19</v>
      </c>
      <c r="AN32" s="209">
        <f t="shared" si="4"/>
        <v>6.3157894736842106</v>
      </c>
      <c r="AO32" s="210">
        <f t="shared" si="5"/>
        <v>120</v>
      </c>
      <c r="AP32" s="40"/>
      <c r="AR32" s="118"/>
      <c r="AS32" s="120"/>
      <c r="AT32" s="120"/>
      <c r="AU32" s="120"/>
      <c r="AV32" s="120"/>
      <c r="AW32" s="120"/>
      <c r="AX32" s="118"/>
      <c r="AY32" s="118"/>
      <c r="AZ32" s="118"/>
    </row>
    <row r="33" spans="1:52" ht="16.5" customHeight="1">
      <c r="A33" s="40"/>
      <c r="B33" s="81">
        <v>9</v>
      </c>
      <c r="C33" s="293" t="s">
        <v>111</v>
      </c>
      <c r="D33" s="428" t="s">
        <v>2171</v>
      </c>
      <c r="E33" s="466" t="s">
        <v>7</v>
      </c>
      <c r="F33" s="469" t="s">
        <v>7</v>
      </c>
      <c r="G33" s="437">
        <v>15</v>
      </c>
      <c r="H33" s="437">
        <v>15</v>
      </c>
      <c r="I33" s="469">
        <v>0</v>
      </c>
      <c r="J33" s="437">
        <v>5</v>
      </c>
      <c r="K33" s="469" t="s">
        <v>7</v>
      </c>
      <c r="L33" s="437">
        <v>0</v>
      </c>
      <c r="M33" s="437">
        <v>5</v>
      </c>
      <c r="N33" s="469" t="s">
        <v>7</v>
      </c>
      <c r="O33" s="469">
        <v>10</v>
      </c>
      <c r="P33" s="437">
        <v>0</v>
      </c>
      <c r="Q33" s="469">
        <v>0</v>
      </c>
      <c r="R33" s="437">
        <v>0</v>
      </c>
      <c r="S33" s="469" t="s">
        <v>7</v>
      </c>
      <c r="T33" s="469" t="s">
        <v>7</v>
      </c>
      <c r="U33" s="469" t="s">
        <v>7</v>
      </c>
      <c r="V33" s="437">
        <v>0</v>
      </c>
      <c r="W33" s="469" t="s">
        <v>7</v>
      </c>
      <c r="X33" s="469">
        <v>20</v>
      </c>
      <c r="Y33" s="469">
        <v>0</v>
      </c>
      <c r="Z33" s="469" t="s">
        <v>7</v>
      </c>
      <c r="AA33" s="437">
        <v>0</v>
      </c>
      <c r="AB33" s="469" t="s">
        <v>7</v>
      </c>
      <c r="AC33" s="469" t="s">
        <v>7</v>
      </c>
      <c r="AD33" s="437">
        <v>0</v>
      </c>
      <c r="AE33" s="437">
        <v>15</v>
      </c>
      <c r="AF33" s="469" t="s">
        <v>7</v>
      </c>
      <c r="AG33" s="469" t="s">
        <v>7</v>
      </c>
      <c r="AH33" s="437">
        <v>0</v>
      </c>
      <c r="AI33" s="437">
        <v>15</v>
      </c>
      <c r="AJ33" s="531" t="s">
        <v>7</v>
      </c>
      <c r="AK33" s="469" t="s">
        <v>7</v>
      </c>
      <c r="AL33" s="531" t="s">
        <v>7</v>
      </c>
      <c r="AM33" s="208">
        <f t="shared" si="3"/>
        <v>18</v>
      </c>
      <c r="AN33" s="209">
        <f t="shared" si="4"/>
        <v>5.5555555555555554</v>
      </c>
      <c r="AO33" s="210">
        <f t="shared" si="5"/>
        <v>100</v>
      </c>
      <c r="AP33" s="40"/>
      <c r="AR33" s="118"/>
      <c r="AS33" s="120"/>
      <c r="AT33" s="120"/>
      <c r="AU33" s="120"/>
      <c r="AV33" s="120"/>
      <c r="AW33" s="120"/>
      <c r="AX33" s="118"/>
      <c r="AY33" s="118"/>
      <c r="AZ33" s="118"/>
    </row>
    <row r="34" spans="1:52" ht="16.5" customHeight="1">
      <c r="A34" s="40"/>
      <c r="B34" s="81">
        <v>10</v>
      </c>
      <c r="C34" s="293" t="s">
        <v>111</v>
      </c>
      <c r="D34" s="428" t="s">
        <v>2185</v>
      </c>
      <c r="E34" s="466" t="s">
        <v>7</v>
      </c>
      <c r="F34" s="437">
        <v>35</v>
      </c>
      <c r="G34" s="469">
        <v>5</v>
      </c>
      <c r="H34" s="437">
        <v>15</v>
      </c>
      <c r="I34" s="469">
        <v>5</v>
      </c>
      <c r="J34" s="469">
        <v>0</v>
      </c>
      <c r="K34" s="469">
        <v>10</v>
      </c>
      <c r="L34" s="469" t="s">
        <v>7</v>
      </c>
      <c r="M34" s="437">
        <v>45</v>
      </c>
      <c r="N34" s="469">
        <v>5</v>
      </c>
      <c r="O34" s="437">
        <v>90</v>
      </c>
      <c r="P34" s="469" t="s">
        <v>7</v>
      </c>
      <c r="Q34" s="469">
        <v>0</v>
      </c>
      <c r="R34" s="469" t="s">
        <v>7</v>
      </c>
      <c r="S34" s="469">
        <v>15</v>
      </c>
      <c r="T34" s="469">
        <v>5</v>
      </c>
      <c r="U34" s="469" t="s">
        <v>7</v>
      </c>
      <c r="V34" s="469" t="s">
        <v>7</v>
      </c>
      <c r="W34" s="469">
        <v>15</v>
      </c>
      <c r="X34" s="469">
        <v>15</v>
      </c>
      <c r="Y34" s="437">
        <v>20</v>
      </c>
      <c r="Z34" s="469">
        <v>0</v>
      </c>
      <c r="AA34" s="469" t="s">
        <v>7</v>
      </c>
      <c r="AB34" s="484">
        <v>250</v>
      </c>
      <c r="AC34" s="437">
        <v>20</v>
      </c>
      <c r="AD34" s="469" t="s">
        <v>7</v>
      </c>
      <c r="AE34" s="469" t="s">
        <v>7</v>
      </c>
      <c r="AF34" s="437">
        <v>0</v>
      </c>
      <c r="AG34" s="437">
        <v>20</v>
      </c>
      <c r="AH34" s="469" t="s">
        <v>7</v>
      </c>
      <c r="AI34" s="469" t="s">
        <v>7</v>
      </c>
      <c r="AJ34" s="441">
        <v>90</v>
      </c>
      <c r="AK34" s="231">
        <v>15</v>
      </c>
      <c r="AL34" s="441">
        <v>15</v>
      </c>
      <c r="AM34" s="208">
        <f t="shared" si="3"/>
        <v>23</v>
      </c>
      <c r="AN34" s="209">
        <f t="shared" si="4"/>
        <v>30</v>
      </c>
      <c r="AO34" s="210">
        <f t="shared" si="5"/>
        <v>690</v>
      </c>
      <c r="AP34" s="40"/>
      <c r="AR34" s="118"/>
      <c r="AS34" s="120"/>
      <c r="AT34" s="120"/>
      <c r="AU34" s="120"/>
      <c r="AV34" s="120"/>
      <c r="AW34" s="120"/>
      <c r="AX34" s="118"/>
      <c r="AY34" s="118"/>
      <c r="AZ34" s="118"/>
    </row>
    <row r="35" spans="1:52" ht="16.5" customHeight="1">
      <c r="A35" s="40"/>
      <c r="B35" s="352" t="s">
        <v>1979</v>
      </c>
      <c r="C35" s="353" t="s">
        <v>113</v>
      </c>
      <c r="D35" s="429" t="s">
        <v>102</v>
      </c>
      <c r="E35" s="466" t="s">
        <v>7</v>
      </c>
      <c r="F35" s="469" t="s">
        <v>7</v>
      </c>
      <c r="G35" s="469" t="s">
        <v>7</v>
      </c>
      <c r="H35" s="469" t="s">
        <v>7</v>
      </c>
      <c r="I35" s="469" t="s">
        <v>7</v>
      </c>
      <c r="J35" s="469" t="s">
        <v>7</v>
      </c>
      <c r="K35" s="469" t="s">
        <v>7</v>
      </c>
      <c r="L35" s="469" t="s">
        <v>7</v>
      </c>
      <c r="M35" s="469" t="s">
        <v>7</v>
      </c>
      <c r="N35" s="469" t="s">
        <v>7</v>
      </c>
      <c r="O35" s="469" t="s">
        <v>7</v>
      </c>
      <c r="P35" s="469" t="s">
        <v>7</v>
      </c>
      <c r="Q35" s="469" t="s">
        <v>7</v>
      </c>
      <c r="R35" s="469" t="s">
        <v>7</v>
      </c>
      <c r="S35" s="231">
        <v>40</v>
      </c>
      <c r="T35" s="469" t="s">
        <v>7</v>
      </c>
      <c r="U35" s="469" t="s">
        <v>7</v>
      </c>
      <c r="V35" s="469" t="s">
        <v>7</v>
      </c>
      <c r="W35" s="469" t="s">
        <v>7</v>
      </c>
      <c r="X35" s="437">
        <v>60</v>
      </c>
      <c r="Y35" s="469" t="s">
        <v>7</v>
      </c>
      <c r="Z35" s="469" t="s">
        <v>7</v>
      </c>
      <c r="AA35" s="469" t="s">
        <v>7</v>
      </c>
      <c r="AB35" s="437">
        <v>60</v>
      </c>
      <c r="AC35" s="469" t="s">
        <v>7</v>
      </c>
      <c r="AD35" s="469" t="s">
        <v>7</v>
      </c>
      <c r="AE35" s="469" t="s">
        <v>7</v>
      </c>
      <c r="AF35" s="469" t="s">
        <v>7</v>
      </c>
      <c r="AG35" s="437">
        <v>15</v>
      </c>
      <c r="AH35" s="469" t="s">
        <v>7</v>
      </c>
      <c r="AI35" s="469" t="s">
        <v>7</v>
      </c>
      <c r="AJ35" s="531" t="s">
        <v>7</v>
      </c>
      <c r="AK35" s="531" t="s">
        <v>7</v>
      </c>
      <c r="AL35" s="531" t="s">
        <v>7</v>
      </c>
      <c r="AM35" s="208">
        <f t="shared" si="3"/>
        <v>4</v>
      </c>
      <c r="AN35" s="209">
        <f t="shared" si="4"/>
        <v>43.75</v>
      </c>
      <c r="AO35" s="210">
        <f t="shared" si="5"/>
        <v>175</v>
      </c>
      <c r="AP35" s="40"/>
      <c r="AR35" s="118"/>
      <c r="AS35" s="120"/>
      <c r="AT35" s="120"/>
      <c r="AU35" s="120"/>
      <c r="AV35" s="120"/>
      <c r="AW35" s="120"/>
      <c r="AX35" s="118"/>
      <c r="AY35" s="118"/>
      <c r="AZ35" s="118"/>
    </row>
    <row r="36" spans="1:52" ht="16.5" customHeight="1" thickBot="1">
      <c r="A36" s="40"/>
      <c r="B36" s="351" t="s">
        <v>1979</v>
      </c>
      <c r="C36" s="350" t="s">
        <v>2189</v>
      </c>
      <c r="D36" s="430" t="s">
        <v>2108</v>
      </c>
      <c r="E36" s="466" t="s">
        <v>7</v>
      </c>
      <c r="F36" s="469" t="s">
        <v>7</v>
      </c>
      <c r="G36" s="469" t="s">
        <v>7</v>
      </c>
      <c r="H36" s="469" t="s">
        <v>7</v>
      </c>
      <c r="I36" s="469" t="s">
        <v>7</v>
      </c>
      <c r="J36" s="469" t="s">
        <v>7</v>
      </c>
      <c r="K36" s="469" t="s">
        <v>7</v>
      </c>
      <c r="L36" s="469" t="s">
        <v>7</v>
      </c>
      <c r="M36" s="469" t="s">
        <v>7</v>
      </c>
      <c r="N36" s="469" t="s">
        <v>7</v>
      </c>
      <c r="O36" s="469" t="s">
        <v>7</v>
      </c>
      <c r="P36" s="469" t="s">
        <v>7</v>
      </c>
      <c r="Q36" s="469" t="s">
        <v>7</v>
      </c>
      <c r="R36" s="469" t="s">
        <v>7</v>
      </c>
      <c r="S36" s="469" t="s">
        <v>7</v>
      </c>
      <c r="T36" s="469" t="s">
        <v>7</v>
      </c>
      <c r="U36" s="469" t="s">
        <v>7</v>
      </c>
      <c r="V36" s="469" t="s">
        <v>7</v>
      </c>
      <c r="W36" s="469" t="s">
        <v>7</v>
      </c>
      <c r="X36" s="469">
        <v>0</v>
      </c>
      <c r="Y36" s="469" t="s">
        <v>7</v>
      </c>
      <c r="Z36" s="469" t="s">
        <v>7</v>
      </c>
      <c r="AA36" s="469" t="s">
        <v>7</v>
      </c>
      <c r="AB36" s="469" t="s">
        <v>7</v>
      </c>
      <c r="AC36" s="469" t="s">
        <v>7</v>
      </c>
      <c r="AD36" s="469" t="s">
        <v>7</v>
      </c>
      <c r="AE36" s="469" t="s">
        <v>7</v>
      </c>
      <c r="AF36" s="469" t="s">
        <v>7</v>
      </c>
      <c r="AG36" s="469">
        <v>0</v>
      </c>
      <c r="AH36" s="469" t="s">
        <v>7</v>
      </c>
      <c r="AI36" s="469" t="s">
        <v>7</v>
      </c>
      <c r="AJ36" s="531" t="s">
        <v>7</v>
      </c>
      <c r="AK36" s="531" t="s">
        <v>7</v>
      </c>
      <c r="AL36" s="531" t="s">
        <v>7</v>
      </c>
      <c r="AM36" s="211">
        <f t="shared" si="3"/>
        <v>2</v>
      </c>
      <c r="AN36" s="212">
        <f t="shared" si="4"/>
        <v>0</v>
      </c>
      <c r="AO36" s="210">
        <f t="shared" si="5"/>
        <v>0</v>
      </c>
      <c r="AP36" s="40"/>
      <c r="AR36" s="118"/>
      <c r="AS36" s="120"/>
      <c r="AT36" s="120"/>
      <c r="AU36" s="120"/>
      <c r="AV36" s="120"/>
      <c r="AW36" s="120"/>
      <c r="AX36" s="118"/>
      <c r="AY36" s="118"/>
      <c r="AZ36" s="118"/>
    </row>
    <row r="37" spans="1:52" ht="19.5" customHeight="1">
      <c r="A37" s="40"/>
      <c r="B37" s="588" t="s">
        <v>24</v>
      </c>
      <c r="C37" s="589"/>
      <c r="D37" s="590"/>
      <c r="E37" s="213">
        <v>0</v>
      </c>
      <c r="F37" s="214">
        <v>0</v>
      </c>
      <c r="G37" s="214">
        <v>1</v>
      </c>
      <c r="H37" s="214">
        <v>1</v>
      </c>
      <c r="I37" s="214">
        <v>0</v>
      </c>
      <c r="J37" s="214">
        <v>0</v>
      </c>
      <c r="K37" s="214">
        <v>0</v>
      </c>
      <c r="L37" s="214">
        <v>0</v>
      </c>
      <c r="M37" s="214">
        <v>0</v>
      </c>
      <c r="N37" s="214">
        <v>0</v>
      </c>
      <c r="O37" s="214">
        <v>0</v>
      </c>
      <c r="P37" s="214">
        <v>0</v>
      </c>
      <c r="Q37" s="214">
        <v>0</v>
      </c>
      <c r="R37" s="214">
        <v>0</v>
      </c>
      <c r="S37" s="214">
        <v>0</v>
      </c>
      <c r="T37" s="214">
        <v>0</v>
      </c>
      <c r="U37" s="214">
        <v>0</v>
      </c>
      <c r="V37" s="214">
        <v>0</v>
      </c>
      <c r="W37" s="214">
        <v>1</v>
      </c>
      <c r="X37" s="214">
        <v>0</v>
      </c>
      <c r="Y37" s="214">
        <v>0</v>
      </c>
      <c r="Z37" s="214">
        <v>0</v>
      </c>
      <c r="AA37" s="214">
        <v>0</v>
      </c>
      <c r="AB37" s="214">
        <v>1</v>
      </c>
      <c r="AC37" s="214">
        <v>0</v>
      </c>
      <c r="AD37" s="214">
        <v>0</v>
      </c>
      <c r="AE37" s="214">
        <v>0</v>
      </c>
      <c r="AF37" s="214">
        <v>0</v>
      </c>
      <c r="AG37" s="214">
        <v>0</v>
      </c>
      <c r="AH37" s="214">
        <v>0</v>
      </c>
      <c r="AI37" s="214">
        <v>0</v>
      </c>
      <c r="AJ37" s="215">
        <v>0</v>
      </c>
      <c r="AK37" s="215">
        <v>0</v>
      </c>
      <c r="AL37" s="215">
        <v>0</v>
      </c>
      <c r="AM37" s="216" t="s">
        <v>7</v>
      </c>
      <c r="AN37" s="217">
        <f t="shared" si="4"/>
        <v>0.11764705882352941</v>
      </c>
      <c r="AO37" s="218">
        <f t="shared" si="5"/>
        <v>4</v>
      </c>
      <c r="AP37" s="40"/>
      <c r="AR37" s="118"/>
      <c r="AS37" s="120"/>
      <c r="AT37" s="120"/>
      <c r="AU37" s="120"/>
      <c r="AV37" s="120"/>
      <c r="AW37" s="120"/>
      <c r="AX37" s="118"/>
      <c r="AY37" s="118"/>
      <c r="AZ37" s="118"/>
    </row>
    <row r="38" spans="1:52" ht="19.5" customHeight="1">
      <c r="A38" s="40"/>
      <c r="B38" s="598" t="s">
        <v>25</v>
      </c>
      <c r="C38" s="599"/>
      <c r="D38" s="600"/>
      <c r="E38" s="219">
        <v>3</v>
      </c>
      <c r="F38" s="219">
        <v>2</v>
      </c>
      <c r="G38" s="219">
        <v>1</v>
      </c>
      <c r="H38" s="219">
        <v>1</v>
      </c>
      <c r="I38" s="219">
        <v>1</v>
      </c>
      <c r="J38" s="219">
        <v>1</v>
      </c>
      <c r="K38" s="219">
        <v>2</v>
      </c>
      <c r="L38" s="219">
        <v>0</v>
      </c>
      <c r="M38" s="219">
        <v>1</v>
      </c>
      <c r="N38" s="219">
        <v>2</v>
      </c>
      <c r="O38" s="219">
        <v>2</v>
      </c>
      <c r="P38" s="219">
        <v>0</v>
      </c>
      <c r="Q38" s="219">
        <v>0</v>
      </c>
      <c r="R38" s="219">
        <v>2</v>
      </c>
      <c r="S38" s="219">
        <v>0</v>
      </c>
      <c r="T38" s="219">
        <v>1</v>
      </c>
      <c r="U38" s="219">
        <v>0</v>
      </c>
      <c r="V38" s="219">
        <v>1</v>
      </c>
      <c r="W38" s="219">
        <v>1</v>
      </c>
      <c r="X38" s="219">
        <v>1</v>
      </c>
      <c r="Y38" s="219">
        <v>1</v>
      </c>
      <c r="Z38" s="219">
        <v>2</v>
      </c>
      <c r="AA38" s="219">
        <v>0</v>
      </c>
      <c r="AB38" s="219">
        <v>2</v>
      </c>
      <c r="AC38" s="219">
        <v>1</v>
      </c>
      <c r="AD38" s="219">
        <v>2</v>
      </c>
      <c r="AE38" s="219">
        <v>0</v>
      </c>
      <c r="AF38" s="219">
        <v>1</v>
      </c>
      <c r="AG38" s="219">
        <v>1</v>
      </c>
      <c r="AH38" s="219">
        <v>0</v>
      </c>
      <c r="AI38" s="219">
        <v>1</v>
      </c>
      <c r="AJ38" s="220">
        <v>1</v>
      </c>
      <c r="AK38" s="220">
        <v>1</v>
      </c>
      <c r="AL38" s="220">
        <v>0</v>
      </c>
      <c r="AM38" s="220" t="s">
        <v>7</v>
      </c>
      <c r="AN38" s="221">
        <f t="shared" si="4"/>
        <v>1.0294117647058822</v>
      </c>
      <c r="AO38" s="222">
        <f t="shared" si="5"/>
        <v>35</v>
      </c>
      <c r="AP38" s="40"/>
      <c r="AR38" s="118"/>
      <c r="AS38" s="118">
        <f>AS39/16</f>
        <v>40.625</v>
      </c>
      <c r="AT38" s="118">
        <f>AT39/7</f>
        <v>52.142857142857146</v>
      </c>
      <c r="AU38" s="118">
        <f>AU39/7</f>
        <v>92.142857142857139</v>
      </c>
      <c r="AV38" s="118">
        <f>AV39/5</f>
        <v>165</v>
      </c>
      <c r="AW38" s="120"/>
      <c r="AX38" s="118"/>
      <c r="AY38" s="118"/>
      <c r="AZ38" s="118"/>
    </row>
    <row r="39" spans="1:52" ht="21" customHeight="1" thickBot="1">
      <c r="A39" s="40"/>
      <c r="B39" s="595" t="s">
        <v>26</v>
      </c>
      <c r="C39" s="596"/>
      <c r="D39" s="597"/>
      <c r="E39" s="53">
        <v>170</v>
      </c>
      <c r="F39" s="53">
        <v>100</v>
      </c>
      <c r="G39" s="53">
        <v>115</v>
      </c>
      <c r="H39" s="53">
        <v>105</v>
      </c>
      <c r="I39" s="53">
        <v>75</v>
      </c>
      <c r="J39" s="53">
        <v>40</v>
      </c>
      <c r="K39" s="53">
        <v>170</v>
      </c>
      <c r="L39" s="53">
        <v>0</v>
      </c>
      <c r="M39" s="53">
        <v>65</v>
      </c>
      <c r="N39" s="53">
        <v>115</v>
      </c>
      <c r="O39" s="53">
        <v>160</v>
      </c>
      <c r="P39" s="53">
        <v>20</v>
      </c>
      <c r="Q39" s="53">
        <v>25</v>
      </c>
      <c r="R39" s="53">
        <v>60</v>
      </c>
      <c r="S39" s="53">
        <v>175</v>
      </c>
      <c r="T39" s="53">
        <v>95</v>
      </c>
      <c r="U39" s="53">
        <v>20</v>
      </c>
      <c r="V39" s="53">
        <v>35</v>
      </c>
      <c r="W39" s="53">
        <v>195</v>
      </c>
      <c r="X39" s="53">
        <v>110</v>
      </c>
      <c r="Y39" s="53">
        <v>25</v>
      </c>
      <c r="Z39" s="53">
        <v>175</v>
      </c>
      <c r="AA39" s="53">
        <v>5</v>
      </c>
      <c r="AB39" s="53">
        <v>360</v>
      </c>
      <c r="AC39" s="53">
        <v>80</v>
      </c>
      <c r="AD39" s="53">
        <v>55</v>
      </c>
      <c r="AE39" s="53">
        <v>20</v>
      </c>
      <c r="AF39" s="53">
        <v>50</v>
      </c>
      <c r="AG39" s="53">
        <v>195</v>
      </c>
      <c r="AH39" s="53">
        <v>0</v>
      </c>
      <c r="AI39" s="53">
        <v>65</v>
      </c>
      <c r="AJ39" s="54">
        <v>140</v>
      </c>
      <c r="AK39" s="54">
        <v>150</v>
      </c>
      <c r="AL39" s="53">
        <v>115</v>
      </c>
      <c r="AM39" s="55" t="s">
        <v>7</v>
      </c>
      <c r="AN39" s="223">
        <f t="shared" si="4"/>
        <v>96.617647058823536</v>
      </c>
      <c r="AO39" s="56">
        <f t="shared" si="5"/>
        <v>3285</v>
      </c>
      <c r="AP39" s="40"/>
      <c r="AR39" s="118"/>
      <c r="AS39" s="120">
        <f>SUM(F96:H96,J96,L96,M96,P96,Q96,R96,U96,V96,Y96,AD96,AE96,AH96,AI96)</f>
        <v>650</v>
      </c>
      <c r="AT39" s="120">
        <f>SUM(E96,I96,N96,T96,AA96,AC96,AF96)</f>
        <v>365</v>
      </c>
      <c r="AU39" s="120">
        <f>SUM(K96,O96,W96,Z96,AJ96,AK96,AL96)</f>
        <v>645</v>
      </c>
      <c r="AV39" s="120">
        <f>SUM(S96,X96,AB96,AG96)</f>
        <v>825</v>
      </c>
      <c r="AW39" s="120"/>
      <c r="AX39" s="118"/>
      <c r="AY39" s="118"/>
      <c r="AZ39" s="118"/>
    </row>
    <row r="40" spans="1:52" ht="12.75" customHeight="1" thickBot="1">
      <c r="A40" s="40"/>
      <c r="B40" s="57"/>
      <c r="C40" s="291"/>
      <c r="D40" s="58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60"/>
      <c r="AO40" s="61"/>
      <c r="AP40" s="40"/>
      <c r="AR40" s="118"/>
      <c r="AS40" s="120"/>
      <c r="AT40" s="120"/>
      <c r="AU40" s="120"/>
      <c r="AV40" s="120"/>
      <c r="AW40" s="120"/>
      <c r="AX40" s="118"/>
      <c r="AY40" s="118"/>
      <c r="AZ40" s="118"/>
    </row>
    <row r="41" spans="1:52" ht="27" thickBot="1">
      <c r="A41" s="40"/>
      <c r="B41" s="757" t="s">
        <v>1969</v>
      </c>
      <c r="C41" s="758"/>
      <c r="D41" s="758"/>
      <c r="E41" s="189"/>
      <c r="F41" s="190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1"/>
      <c r="AA41" s="191"/>
      <c r="AB41" s="191"/>
      <c r="AC41" s="191"/>
      <c r="AD41" s="191"/>
      <c r="AE41" s="191"/>
      <c r="AF41" s="191"/>
      <c r="AG41" s="191"/>
      <c r="AH41" s="191"/>
      <c r="AI41" s="226">
        <v>1</v>
      </c>
      <c r="AJ41" s="227">
        <v>1</v>
      </c>
      <c r="AK41" s="228">
        <v>1</v>
      </c>
      <c r="AL41" s="233">
        <v>10</v>
      </c>
      <c r="AM41" s="759" t="s">
        <v>2015</v>
      </c>
      <c r="AN41" s="760"/>
      <c r="AO41" s="761"/>
      <c r="AP41" s="40"/>
      <c r="AR41" s="121"/>
      <c r="AS41" s="121"/>
      <c r="AT41" s="121"/>
      <c r="AU41" s="120"/>
      <c r="AV41" s="120"/>
      <c r="AW41" s="120"/>
      <c r="AX41" s="118"/>
      <c r="AY41" s="118"/>
      <c r="AZ41" s="118"/>
    </row>
    <row r="42" spans="1:52" ht="13.5" customHeight="1">
      <c r="A42" s="40"/>
      <c r="B42" s="762" t="s">
        <v>16</v>
      </c>
      <c r="C42" s="763"/>
      <c r="D42" s="764"/>
      <c r="E42" s="64">
        <v>1</v>
      </c>
      <c r="F42" s="64">
        <v>2</v>
      </c>
      <c r="G42" s="64">
        <v>3</v>
      </c>
      <c r="H42" s="64">
        <v>4</v>
      </c>
      <c r="I42" s="64">
        <v>5</v>
      </c>
      <c r="J42" s="64">
        <v>6</v>
      </c>
      <c r="K42" s="64">
        <v>7</v>
      </c>
      <c r="L42" s="64">
        <v>8</v>
      </c>
      <c r="M42" s="64">
        <v>9</v>
      </c>
      <c r="N42" s="64">
        <v>10</v>
      </c>
      <c r="O42" s="64">
        <v>11</v>
      </c>
      <c r="P42" s="64">
        <v>12</v>
      </c>
      <c r="Q42" s="64">
        <v>13</v>
      </c>
      <c r="R42" s="64">
        <v>14</v>
      </c>
      <c r="S42" s="64">
        <v>15</v>
      </c>
      <c r="T42" s="64">
        <v>16</v>
      </c>
      <c r="U42" s="64">
        <v>17</v>
      </c>
      <c r="V42" s="65">
        <v>18</v>
      </c>
      <c r="W42" s="65">
        <v>19</v>
      </c>
      <c r="X42" s="65">
        <v>20</v>
      </c>
      <c r="Y42" s="65">
        <v>21</v>
      </c>
      <c r="Z42" s="65">
        <v>22</v>
      </c>
      <c r="AA42" s="65">
        <v>23</v>
      </c>
      <c r="AB42" s="65">
        <v>24</v>
      </c>
      <c r="AC42" s="65">
        <v>25</v>
      </c>
      <c r="AD42" s="65">
        <v>26</v>
      </c>
      <c r="AE42" s="65">
        <v>27</v>
      </c>
      <c r="AF42" s="65">
        <v>28</v>
      </c>
      <c r="AG42" s="65">
        <v>29</v>
      </c>
      <c r="AH42" s="65">
        <v>30</v>
      </c>
      <c r="AI42" s="65">
        <v>31</v>
      </c>
      <c r="AJ42" s="65">
        <v>32</v>
      </c>
      <c r="AK42" s="65">
        <v>33</v>
      </c>
      <c r="AL42" s="65">
        <v>34</v>
      </c>
      <c r="AM42" s="768" t="s">
        <v>17</v>
      </c>
      <c r="AN42" s="770" t="s">
        <v>18</v>
      </c>
      <c r="AO42" s="772" t="s">
        <v>19</v>
      </c>
      <c r="AP42" s="40"/>
      <c r="AR42" s="118"/>
      <c r="AS42" s="120"/>
      <c r="AT42" s="120"/>
      <c r="AU42" s="120"/>
      <c r="AV42" s="120"/>
      <c r="AW42" s="120"/>
      <c r="AX42" s="118"/>
      <c r="AY42" s="118"/>
      <c r="AZ42" s="118"/>
    </row>
    <row r="43" spans="1:52" ht="13.5" customHeight="1" thickBot="1">
      <c r="A43" s="40"/>
      <c r="B43" s="765"/>
      <c r="C43" s="766"/>
      <c r="D43" s="767"/>
      <c r="E43" s="101" t="s">
        <v>21</v>
      </c>
      <c r="F43" s="101" t="s">
        <v>20</v>
      </c>
      <c r="G43" s="101" t="s">
        <v>20</v>
      </c>
      <c r="H43" s="101" t="s">
        <v>20</v>
      </c>
      <c r="I43" s="101" t="s">
        <v>21</v>
      </c>
      <c r="J43" s="101" t="s">
        <v>20</v>
      </c>
      <c r="K43" s="101" t="s">
        <v>22</v>
      </c>
      <c r="L43" s="101" t="s">
        <v>20</v>
      </c>
      <c r="M43" s="101" t="s">
        <v>20</v>
      </c>
      <c r="N43" s="101" t="s">
        <v>21</v>
      </c>
      <c r="O43" s="101" t="s">
        <v>22</v>
      </c>
      <c r="P43" s="101" t="s">
        <v>20</v>
      </c>
      <c r="Q43" s="101" t="s">
        <v>20</v>
      </c>
      <c r="R43" s="101" t="s">
        <v>20</v>
      </c>
      <c r="S43" s="101" t="s">
        <v>23</v>
      </c>
      <c r="T43" s="101" t="s">
        <v>21</v>
      </c>
      <c r="U43" s="101" t="s">
        <v>20</v>
      </c>
      <c r="V43" s="101" t="s">
        <v>20</v>
      </c>
      <c r="W43" s="101" t="s">
        <v>22</v>
      </c>
      <c r="X43" s="101" t="s">
        <v>23</v>
      </c>
      <c r="Y43" s="101" t="s">
        <v>20</v>
      </c>
      <c r="Z43" s="101" t="s">
        <v>22</v>
      </c>
      <c r="AA43" s="101" t="s">
        <v>21</v>
      </c>
      <c r="AB43" s="101" t="s">
        <v>23</v>
      </c>
      <c r="AC43" s="101" t="s">
        <v>21</v>
      </c>
      <c r="AD43" s="101" t="s">
        <v>20</v>
      </c>
      <c r="AE43" s="101" t="s">
        <v>20</v>
      </c>
      <c r="AF43" s="101" t="s">
        <v>21</v>
      </c>
      <c r="AG43" s="101" t="s">
        <v>23</v>
      </c>
      <c r="AH43" s="101" t="s">
        <v>20</v>
      </c>
      <c r="AI43" s="101" t="s">
        <v>20</v>
      </c>
      <c r="AJ43" s="101" t="s">
        <v>22</v>
      </c>
      <c r="AK43" s="101" t="s">
        <v>22</v>
      </c>
      <c r="AL43" s="101" t="s">
        <v>22</v>
      </c>
      <c r="AM43" s="769"/>
      <c r="AN43" s="771"/>
      <c r="AO43" s="773"/>
      <c r="AP43" s="40"/>
      <c r="AR43" s="118"/>
      <c r="AS43" s="120"/>
      <c r="AT43" s="120"/>
      <c r="AU43" s="120"/>
      <c r="AV43" s="120"/>
      <c r="AW43" s="120"/>
      <c r="AX43" s="118"/>
      <c r="AY43" s="118"/>
      <c r="AZ43" s="118"/>
    </row>
    <row r="44" spans="1:52" ht="16.5" customHeight="1">
      <c r="A44" s="40"/>
      <c r="B44" s="102">
        <v>1</v>
      </c>
      <c r="C44" s="287" t="s">
        <v>111</v>
      </c>
      <c r="D44" s="66" t="s">
        <v>2079</v>
      </c>
      <c r="E44" s="466" t="s">
        <v>7</v>
      </c>
      <c r="F44" s="469" t="s">
        <v>7</v>
      </c>
      <c r="G44" s="469" t="s">
        <v>7</v>
      </c>
      <c r="H44" s="469" t="s">
        <v>7</v>
      </c>
      <c r="I44" s="437">
        <v>30</v>
      </c>
      <c r="J44" s="437">
        <v>10</v>
      </c>
      <c r="K44" s="437">
        <v>70</v>
      </c>
      <c r="L44" s="469" t="s">
        <v>7</v>
      </c>
      <c r="M44" s="469" t="s">
        <v>7</v>
      </c>
      <c r="N44" s="437">
        <v>20</v>
      </c>
      <c r="O44" s="437">
        <v>15</v>
      </c>
      <c r="P44" s="469" t="s">
        <v>7</v>
      </c>
      <c r="Q44" s="437">
        <v>45</v>
      </c>
      <c r="R44" s="469" t="s">
        <v>7</v>
      </c>
      <c r="S44" s="231">
        <v>100</v>
      </c>
      <c r="T44" s="437">
        <v>30</v>
      </c>
      <c r="U44" s="469" t="s">
        <v>7</v>
      </c>
      <c r="V44" s="439">
        <v>75</v>
      </c>
      <c r="W44" s="476" t="s">
        <v>7</v>
      </c>
      <c r="X44" s="438">
        <v>250</v>
      </c>
      <c r="Y44" s="208">
        <v>30</v>
      </c>
      <c r="Z44" s="439">
        <v>150</v>
      </c>
      <c r="AA44" s="476" t="s">
        <v>7</v>
      </c>
      <c r="AB44" s="437">
        <v>60</v>
      </c>
      <c r="AC44" s="208">
        <v>30</v>
      </c>
      <c r="AD44" s="476" t="s">
        <v>7</v>
      </c>
      <c r="AE44" s="476" t="s">
        <v>7</v>
      </c>
      <c r="AF44" s="437">
        <v>30</v>
      </c>
      <c r="AG44" s="439">
        <v>250</v>
      </c>
      <c r="AH44" s="476" t="s">
        <v>7</v>
      </c>
      <c r="AI44" s="476" t="s">
        <v>7</v>
      </c>
      <c r="AJ44" s="437">
        <v>70</v>
      </c>
      <c r="AK44" s="532">
        <v>150</v>
      </c>
      <c r="AL44" s="440">
        <v>60</v>
      </c>
      <c r="AM44" s="205">
        <f t="shared" ref="AM44:AM55" si="6">COUNT(E44:AL44)</f>
        <v>19</v>
      </c>
      <c r="AN44" s="206">
        <f t="shared" ref="AN44:AN58" si="7">IF(ISERROR(AVERAGE(E44:AL44)),0,(AVERAGE(E44:AL44)))</f>
        <v>77.631578947368425</v>
      </c>
      <c r="AO44" s="207">
        <f t="shared" ref="AO44:AO58" si="8">SUM(E44:AL44)</f>
        <v>1475</v>
      </c>
      <c r="AP44" s="40"/>
      <c r="AR44" s="118"/>
      <c r="AS44" s="120"/>
      <c r="AT44" s="120"/>
      <c r="AU44" s="120"/>
      <c r="AV44" s="120"/>
      <c r="AW44" s="120"/>
      <c r="AX44" s="118"/>
      <c r="AY44" s="118"/>
      <c r="AZ44" s="118"/>
    </row>
    <row r="45" spans="1:52" ht="16.5" customHeight="1">
      <c r="A45" s="40"/>
      <c r="B45" s="103">
        <v>2</v>
      </c>
      <c r="C45" s="286" t="s">
        <v>111</v>
      </c>
      <c r="D45" s="67" t="s">
        <v>438</v>
      </c>
      <c r="E45" s="436">
        <v>5</v>
      </c>
      <c r="F45" s="437">
        <v>5</v>
      </c>
      <c r="G45" s="469" t="s">
        <v>7</v>
      </c>
      <c r="H45" s="437">
        <v>0</v>
      </c>
      <c r="I45" s="437">
        <v>0</v>
      </c>
      <c r="J45" s="469">
        <v>0</v>
      </c>
      <c r="K45" s="437">
        <v>15</v>
      </c>
      <c r="L45" s="469" t="s">
        <v>7</v>
      </c>
      <c r="M45" s="469" t="s">
        <v>7</v>
      </c>
      <c r="N45" s="437">
        <v>0</v>
      </c>
      <c r="O45" s="437">
        <v>0</v>
      </c>
      <c r="P45" s="437">
        <v>5</v>
      </c>
      <c r="Q45" s="437">
        <v>0</v>
      </c>
      <c r="R45" s="469" t="s">
        <v>7</v>
      </c>
      <c r="S45" s="437">
        <v>15</v>
      </c>
      <c r="T45" s="437">
        <v>0</v>
      </c>
      <c r="U45" s="437">
        <v>10</v>
      </c>
      <c r="V45" s="469" t="s">
        <v>7</v>
      </c>
      <c r="W45" s="469">
        <v>0</v>
      </c>
      <c r="X45" s="469" t="s">
        <v>7</v>
      </c>
      <c r="Y45" s="469" t="s">
        <v>7</v>
      </c>
      <c r="Z45" s="469">
        <v>0</v>
      </c>
      <c r="AA45" s="469" t="s">
        <v>7</v>
      </c>
      <c r="AB45" s="469" t="s">
        <v>7</v>
      </c>
      <c r="AC45" s="469" t="s">
        <v>7</v>
      </c>
      <c r="AD45" s="469" t="s">
        <v>7</v>
      </c>
      <c r="AE45" s="469" t="s">
        <v>7</v>
      </c>
      <c r="AF45" s="469" t="s">
        <v>7</v>
      </c>
      <c r="AG45" s="437">
        <v>0</v>
      </c>
      <c r="AH45" s="437">
        <v>0</v>
      </c>
      <c r="AI45" s="437">
        <v>0</v>
      </c>
      <c r="AJ45" s="469" t="s">
        <v>7</v>
      </c>
      <c r="AK45" s="531" t="s">
        <v>7</v>
      </c>
      <c r="AL45" s="469" t="s">
        <v>7</v>
      </c>
      <c r="AM45" s="208">
        <f t="shared" si="6"/>
        <v>18</v>
      </c>
      <c r="AN45" s="209">
        <f t="shared" si="7"/>
        <v>3.0555555555555554</v>
      </c>
      <c r="AO45" s="210">
        <f t="shared" si="8"/>
        <v>55</v>
      </c>
      <c r="AP45" s="40"/>
      <c r="AR45" s="118"/>
      <c r="AS45" s="120"/>
      <c r="AT45" s="120"/>
      <c r="AU45" s="120"/>
      <c r="AV45" s="120"/>
      <c r="AW45" s="120"/>
      <c r="AX45" s="118"/>
      <c r="AY45" s="118"/>
      <c r="AZ45" s="118"/>
    </row>
    <row r="46" spans="1:52" ht="16.5" customHeight="1">
      <c r="A46" s="40"/>
      <c r="B46" s="103">
        <v>3</v>
      </c>
      <c r="C46" s="286" t="s">
        <v>131</v>
      </c>
      <c r="D46" s="67" t="s">
        <v>2120</v>
      </c>
      <c r="E46" s="436">
        <v>20</v>
      </c>
      <c r="F46" s="437">
        <v>0</v>
      </c>
      <c r="G46" s="469" t="s">
        <v>7</v>
      </c>
      <c r="H46" s="469" t="s">
        <v>7</v>
      </c>
      <c r="I46" s="437">
        <v>5</v>
      </c>
      <c r="J46" s="437">
        <v>20</v>
      </c>
      <c r="K46" s="437">
        <v>0</v>
      </c>
      <c r="L46" s="469" t="s">
        <v>7</v>
      </c>
      <c r="M46" s="469" t="s">
        <v>7</v>
      </c>
      <c r="N46" s="437">
        <v>20</v>
      </c>
      <c r="O46" s="437">
        <v>40</v>
      </c>
      <c r="P46" s="469" t="s">
        <v>7</v>
      </c>
      <c r="Q46" s="469" t="s">
        <v>7</v>
      </c>
      <c r="R46" s="469" t="s">
        <v>7</v>
      </c>
      <c r="S46" s="437">
        <v>0</v>
      </c>
      <c r="T46" s="437">
        <v>0</v>
      </c>
      <c r="U46" s="437">
        <v>5</v>
      </c>
      <c r="V46" s="469" t="s">
        <v>7</v>
      </c>
      <c r="W46" s="437">
        <v>10</v>
      </c>
      <c r="X46" s="469">
        <v>15</v>
      </c>
      <c r="Y46" s="437">
        <v>20</v>
      </c>
      <c r="Z46" s="437">
        <v>15</v>
      </c>
      <c r="AA46" s="437">
        <v>5</v>
      </c>
      <c r="AB46" s="437">
        <v>140</v>
      </c>
      <c r="AC46" s="437">
        <v>10</v>
      </c>
      <c r="AD46" s="469" t="s">
        <v>7</v>
      </c>
      <c r="AE46" s="469" t="s">
        <v>7</v>
      </c>
      <c r="AF46" s="437">
        <v>0</v>
      </c>
      <c r="AG46" s="231">
        <v>60</v>
      </c>
      <c r="AH46" s="469" t="s">
        <v>7</v>
      </c>
      <c r="AI46" s="437">
        <v>5</v>
      </c>
      <c r="AJ46" s="441">
        <v>10</v>
      </c>
      <c r="AK46" s="441">
        <v>90</v>
      </c>
      <c r="AL46" s="441">
        <v>15</v>
      </c>
      <c r="AM46" s="208">
        <f t="shared" si="6"/>
        <v>23</v>
      </c>
      <c r="AN46" s="209">
        <f t="shared" si="7"/>
        <v>21.956521739130434</v>
      </c>
      <c r="AO46" s="210">
        <f t="shared" si="8"/>
        <v>505</v>
      </c>
      <c r="AP46" s="40"/>
      <c r="AR46" s="118"/>
      <c r="AS46" s="120"/>
      <c r="AT46" s="120"/>
      <c r="AU46" s="120"/>
      <c r="AV46" s="120"/>
      <c r="AW46" s="120"/>
      <c r="AX46" s="118"/>
      <c r="AY46" s="118"/>
      <c r="AZ46" s="118"/>
    </row>
    <row r="47" spans="1:52" ht="16.5" customHeight="1">
      <c r="A47" s="40"/>
      <c r="B47" s="103">
        <v>4</v>
      </c>
      <c r="C47" s="286" t="s">
        <v>111</v>
      </c>
      <c r="D47" s="67" t="s">
        <v>2130</v>
      </c>
      <c r="E47" s="436">
        <v>5</v>
      </c>
      <c r="F47" s="469">
        <v>0</v>
      </c>
      <c r="G47" s="437">
        <v>5</v>
      </c>
      <c r="H47" s="469" t="s">
        <v>7</v>
      </c>
      <c r="I47" s="437">
        <v>0</v>
      </c>
      <c r="J47" s="469">
        <v>0</v>
      </c>
      <c r="K47" s="469" t="s">
        <v>7</v>
      </c>
      <c r="L47" s="469" t="s">
        <v>7</v>
      </c>
      <c r="M47" s="437">
        <v>0</v>
      </c>
      <c r="N47" s="469">
        <v>10</v>
      </c>
      <c r="O47" s="437">
        <v>10</v>
      </c>
      <c r="P47" s="469" t="s">
        <v>7</v>
      </c>
      <c r="Q47" s="469" t="s">
        <v>7</v>
      </c>
      <c r="R47" s="437">
        <v>0</v>
      </c>
      <c r="S47" s="437">
        <v>0</v>
      </c>
      <c r="T47" s="437">
        <v>10</v>
      </c>
      <c r="U47" s="469" t="s">
        <v>7</v>
      </c>
      <c r="V47" s="469" t="s">
        <v>7</v>
      </c>
      <c r="W47" s="437">
        <v>10</v>
      </c>
      <c r="X47" s="437">
        <v>0</v>
      </c>
      <c r="Y47" s="469">
        <v>0</v>
      </c>
      <c r="Z47" s="437">
        <v>0</v>
      </c>
      <c r="AA47" s="469" t="s">
        <v>7</v>
      </c>
      <c r="AB47" s="437">
        <v>40</v>
      </c>
      <c r="AC47" s="469" t="s">
        <v>7</v>
      </c>
      <c r="AD47" s="437">
        <v>45</v>
      </c>
      <c r="AE47" s="437">
        <v>0</v>
      </c>
      <c r="AF47" s="469" t="s">
        <v>7</v>
      </c>
      <c r="AG47" s="437">
        <v>0</v>
      </c>
      <c r="AH47" s="437">
        <v>15</v>
      </c>
      <c r="AI47" s="437">
        <v>25</v>
      </c>
      <c r="AJ47" s="441">
        <v>40</v>
      </c>
      <c r="AK47" s="531" t="s">
        <v>7</v>
      </c>
      <c r="AL47" s="531" t="s">
        <v>7</v>
      </c>
      <c r="AM47" s="208">
        <f t="shared" si="6"/>
        <v>22</v>
      </c>
      <c r="AN47" s="209">
        <f t="shared" si="7"/>
        <v>9.7727272727272734</v>
      </c>
      <c r="AO47" s="210">
        <f t="shared" si="8"/>
        <v>215</v>
      </c>
      <c r="AP47" s="40"/>
      <c r="AR47" s="118"/>
      <c r="AS47" s="120"/>
      <c r="AT47" s="120"/>
      <c r="AU47" s="120"/>
      <c r="AV47" s="120"/>
      <c r="AW47" s="120"/>
      <c r="AX47" s="118"/>
      <c r="AY47" s="118"/>
      <c r="AZ47" s="118"/>
    </row>
    <row r="48" spans="1:52" ht="16.5" customHeight="1">
      <c r="A48" s="40"/>
      <c r="B48" s="103">
        <v>5</v>
      </c>
      <c r="C48" s="286" t="s">
        <v>111</v>
      </c>
      <c r="D48" s="67" t="s">
        <v>2131</v>
      </c>
      <c r="E48" s="436">
        <v>5</v>
      </c>
      <c r="F48" s="437">
        <v>10</v>
      </c>
      <c r="G48" s="469" t="s">
        <v>7</v>
      </c>
      <c r="H48" s="469" t="s">
        <v>7</v>
      </c>
      <c r="I48" s="469">
        <v>0</v>
      </c>
      <c r="J48" s="437">
        <v>10</v>
      </c>
      <c r="K48" s="437">
        <v>50</v>
      </c>
      <c r="L48" s="469" t="s">
        <v>7</v>
      </c>
      <c r="M48" s="437">
        <v>5</v>
      </c>
      <c r="N48" s="437">
        <v>10</v>
      </c>
      <c r="O48" s="437">
        <v>30</v>
      </c>
      <c r="P48" s="469" t="s">
        <v>7</v>
      </c>
      <c r="Q48" s="469" t="s">
        <v>7</v>
      </c>
      <c r="R48" s="437">
        <v>10</v>
      </c>
      <c r="S48" s="469">
        <v>15</v>
      </c>
      <c r="T48" s="437">
        <v>5</v>
      </c>
      <c r="U48" s="469" t="s">
        <v>7</v>
      </c>
      <c r="V48" s="469" t="s">
        <v>7</v>
      </c>
      <c r="W48" s="437">
        <v>10</v>
      </c>
      <c r="X48" s="437">
        <v>60</v>
      </c>
      <c r="Y48" s="469" t="s">
        <v>7</v>
      </c>
      <c r="Z48" s="437">
        <v>0</v>
      </c>
      <c r="AA48" s="469" t="s">
        <v>7</v>
      </c>
      <c r="AB48" s="437">
        <v>0</v>
      </c>
      <c r="AC48" s="437">
        <v>20</v>
      </c>
      <c r="AD48" s="469" t="s">
        <v>7</v>
      </c>
      <c r="AE48" s="437">
        <v>15</v>
      </c>
      <c r="AF48" s="437">
        <v>0</v>
      </c>
      <c r="AG48" s="469">
        <v>0</v>
      </c>
      <c r="AH48" s="469" t="s">
        <v>7</v>
      </c>
      <c r="AI48" s="437">
        <v>15</v>
      </c>
      <c r="AJ48" s="437">
        <v>10</v>
      </c>
      <c r="AK48" s="437">
        <v>10</v>
      </c>
      <c r="AL48" s="531" t="s">
        <v>7</v>
      </c>
      <c r="AM48" s="208">
        <f t="shared" si="6"/>
        <v>22</v>
      </c>
      <c r="AN48" s="209">
        <f t="shared" si="7"/>
        <v>13.181818181818182</v>
      </c>
      <c r="AO48" s="210">
        <f t="shared" si="8"/>
        <v>290</v>
      </c>
      <c r="AP48" s="40"/>
      <c r="AR48" s="118"/>
      <c r="AS48" s="120"/>
      <c r="AT48" s="120"/>
      <c r="AU48" s="120"/>
      <c r="AV48" s="120"/>
      <c r="AW48" s="120"/>
      <c r="AX48" s="118"/>
      <c r="AY48" s="118"/>
      <c r="AZ48" s="118"/>
    </row>
    <row r="49" spans="1:52" ht="16.5" customHeight="1">
      <c r="A49" s="40"/>
      <c r="B49" s="103">
        <v>6</v>
      </c>
      <c r="C49" s="286" t="s">
        <v>127</v>
      </c>
      <c r="D49" s="67" t="s">
        <v>2149</v>
      </c>
      <c r="E49" s="467" t="s">
        <v>7</v>
      </c>
      <c r="F49" s="469" t="s">
        <v>7</v>
      </c>
      <c r="G49" s="469" t="s">
        <v>7</v>
      </c>
      <c r="H49" s="469" t="s">
        <v>7</v>
      </c>
      <c r="I49" s="469" t="s">
        <v>7</v>
      </c>
      <c r="J49" s="469" t="s">
        <v>7</v>
      </c>
      <c r="K49" s="469" t="s">
        <v>7</v>
      </c>
      <c r="L49" s="437">
        <v>5</v>
      </c>
      <c r="M49" s="469">
        <v>0</v>
      </c>
      <c r="N49" s="469" t="s">
        <v>7</v>
      </c>
      <c r="O49" s="469" t="s">
        <v>7</v>
      </c>
      <c r="P49" s="437">
        <v>5</v>
      </c>
      <c r="Q49" s="469">
        <v>0</v>
      </c>
      <c r="R49" s="437">
        <v>25</v>
      </c>
      <c r="S49" s="469" t="s">
        <v>7</v>
      </c>
      <c r="T49" s="469" t="s">
        <v>7</v>
      </c>
      <c r="U49" s="469">
        <v>0</v>
      </c>
      <c r="V49" s="437">
        <v>5</v>
      </c>
      <c r="W49" s="469" t="s">
        <v>7</v>
      </c>
      <c r="X49" s="469">
        <v>15</v>
      </c>
      <c r="Y49" s="437">
        <v>5</v>
      </c>
      <c r="Z49" s="469" t="s">
        <v>7</v>
      </c>
      <c r="AA49" s="437">
        <v>5</v>
      </c>
      <c r="AB49" s="469">
        <v>0</v>
      </c>
      <c r="AC49" s="469" t="s">
        <v>7</v>
      </c>
      <c r="AD49" s="437">
        <v>5</v>
      </c>
      <c r="AE49" s="469">
        <v>0</v>
      </c>
      <c r="AF49" s="469">
        <v>0</v>
      </c>
      <c r="AG49" s="469">
        <v>0</v>
      </c>
      <c r="AH49" s="437">
        <v>15</v>
      </c>
      <c r="AI49" s="469">
        <v>0</v>
      </c>
      <c r="AJ49" s="531" t="s">
        <v>7</v>
      </c>
      <c r="AK49" s="469" t="s">
        <v>7</v>
      </c>
      <c r="AL49" s="531" t="s">
        <v>7</v>
      </c>
      <c r="AM49" s="208">
        <f t="shared" si="6"/>
        <v>17</v>
      </c>
      <c r="AN49" s="209">
        <f t="shared" si="7"/>
        <v>5</v>
      </c>
      <c r="AO49" s="210">
        <f t="shared" si="8"/>
        <v>85</v>
      </c>
      <c r="AP49" s="40"/>
      <c r="AR49" s="118"/>
      <c r="AS49" s="120"/>
      <c r="AT49" s="120"/>
      <c r="AU49" s="120"/>
      <c r="AV49" s="120"/>
      <c r="AW49" s="120"/>
      <c r="AX49" s="118"/>
      <c r="AY49" s="118"/>
      <c r="AZ49" s="118"/>
    </row>
    <row r="50" spans="1:52" ht="16.5" customHeight="1">
      <c r="A50" s="40"/>
      <c r="B50" s="103">
        <v>7</v>
      </c>
      <c r="C50" s="286" t="s">
        <v>121</v>
      </c>
      <c r="D50" s="67" t="s">
        <v>2150</v>
      </c>
      <c r="E50" s="436">
        <v>5</v>
      </c>
      <c r="F50" s="438">
        <v>75</v>
      </c>
      <c r="G50" s="437">
        <v>15</v>
      </c>
      <c r="H50" s="469" t="s">
        <v>7</v>
      </c>
      <c r="I50" s="437">
        <v>5</v>
      </c>
      <c r="J50" s="437">
        <v>10</v>
      </c>
      <c r="K50" s="437">
        <v>40</v>
      </c>
      <c r="L50" s="469" t="s">
        <v>7</v>
      </c>
      <c r="M50" s="469" t="s">
        <v>7</v>
      </c>
      <c r="N50" s="437">
        <v>5</v>
      </c>
      <c r="O50" s="469">
        <v>0</v>
      </c>
      <c r="P50" s="469" t="s">
        <v>7</v>
      </c>
      <c r="Q50" s="437">
        <v>0</v>
      </c>
      <c r="R50" s="469" t="s">
        <v>7</v>
      </c>
      <c r="S50" s="469">
        <v>15</v>
      </c>
      <c r="T50" s="469">
        <v>5</v>
      </c>
      <c r="U50" s="437">
        <v>15</v>
      </c>
      <c r="V50" s="469" t="s">
        <v>7</v>
      </c>
      <c r="W50" s="437">
        <v>15</v>
      </c>
      <c r="X50" s="437">
        <v>0</v>
      </c>
      <c r="Y50" s="469" t="s">
        <v>7</v>
      </c>
      <c r="Z50" s="230">
        <v>60</v>
      </c>
      <c r="AA50" s="437">
        <v>20</v>
      </c>
      <c r="AB50" s="437">
        <v>20</v>
      </c>
      <c r="AC50" s="437">
        <v>10</v>
      </c>
      <c r="AD50" s="469" t="s">
        <v>7</v>
      </c>
      <c r="AE50" s="469" t="s">
        <v>7</v>
      </c>
      <c r="AF50" s="437">
        <v>10</v>
      </c>
      <c r="AG50" s="469">
        <v>0</v>
      </c>
      <c r="AH50" s="469" t="s">
        <v>7</v>
      </c>
      <c r="AI50" s="469" t="s">
        <v>7</v>
      </c>
      <c r="AJ50" s="437">
        <v>10</v>
      </c>
      <c r="AK50" s="437">
        <v>10</v>
      </c>
      <c r="AL50" s="231">
        <v>15</v>
      </c>
      <c r="AM50" s="208">
        <f t="shared" si="6"/>
        <v>23</v>
      </c>
      <c r="AN50" s="209">
        <f t="shared" si="7"/>
        <v>15.652173913043478</v>
      </c>
      <c r="AO50" s="210">
        <f t="shared" si="8"/>
        <v>360</v>
      </c>
      <c r="AP50" s="40"/>
      <c r="AR50" s="118"/>
      <c r="AS50" s="120"/>
      <c r="AT50" s="120"/>
      <c r="AU50" s="120"/>
      <c r="AV50" s="120"/>
      <c r="AW50" s="120"/>
      <c r="AX50" s="118"/>
      <c r="AY50" s="118"/>
      <c r="AZ50" s="118"/>
    </row>
    <row r="51" spans="1:52" ht="16.5" customHeight="1">
      <c r="A51" s="40"/>
      <c r="B51" s="103">
        <v>8</v>
      </c>
      <c r="C51" s="286" t="s">
        <v>111</v>
      </c>
      <c r="D51" s="67" t="s">
        <v>2168</v>
      </c>
      <c r="E51" s="466" t="s">
        <v>7</v>
      </c>
      <c r="F51" s="437">
        <v>5</v>
      </c>
      <c r="G51" s="437">
        <v>10</v>
      </c>
      <c r="H51" s="469" t="s">
        <v>7</v>
      </c>
      <c r="I51" s="469">
        <v>5</v>
      </c>
      <c r="J51" s="437">
        <v>10</v>
      </c>
      <c r="K51" s="469" t="s">
        <v>7</v>
      </c>
      <c r="L51" s="469" t="s">
        <v>7</v>
      </c>
      <c r="M51" s="437">
        <v>5</v>
      </c>
      <c r="N51" s="469" t="s">
        <v>7</v>
      </c>
      <c r="O51" s="469">
        <v>0</v>
      </c>
      <c r="P51" s="437">
        <v>0</v>
      </c>
      <c r="Q51" s="437">
        <v>10</v>
      </c>
      <c r="R51" s="437">
        <v>15</v>
      </c>
      <c r="S51" s="469" t="s">
        <v>7</v>
      </c>
      <c r="T51" s="469" t="s">
        <v>7</v>
      </c>
      <c r="U51" s="437">
        <v>10</v>
      </c>
      <c r="V51" s="469" t="s">
        <v>7</v>
      </c>
      <c r="W51" s="230">
        <v>40</v>
      </c>
      <c r="X51" s="437">
        <v>0</v>
      </c>
      <c r="Y51" s="437">
        <v>5</v>
      </c>
      <c r="Z51" s="469" t="s">
        <v>7</v>
      </c>
      <c r="AA51" s="437">
        <v>5</v>
      </c>
      <c r="AB51" s="469" t="s">
        <v>7</v>
      </c>
      <c r="AC51" s="469" t="s">
        <v>7</v>
      </c>
      <c r="AD51" s="437">
        <v>0</v>
      </c>
      <c r="AE51" s="437">
        <v>5</v>
      </c>
      <c r="AF51" s="437">
        <v>5</v>
      </c>
      <c r="AG51" s="469" t="s">
        <v>7</v>
      </c>
      <c r="AH51" s="437">
        <v>0</v>
      </c>
      <c r="AI51" s="469">
        <v>0</v>
      </c>
      <c r="AJ51" s="469" t="s">
        <v>7</v>
      </c>
      <c r="AK51" s="469" t="s">
        <v>7</v>
      </c>
      <c r="AL51" s="531" t="s">
        <v>7</v>
      </c>
      <c r="AM51" s="208">
        <f t="shared" si="6"/>
        <v>19</v>
      </c>
      <c r="AN51" s="209">
        <f t="shared" si="7"/>
        <v>6.8421052631578947</v>
      </c>
      <c r="AO51" s="210">
        <f t="shared" si="8"/>
        <v>130</v>
      </c>
      <c r="AP51" s="40"/>
      <c r="AR51" s="118"/>
      <c r="AS51" s="120"/>
      <c r="AT51" s="120"/>
      <c r="AU51" s="120"/>
      <c r="AV51" s="120"/>
      <c r="AW51" s="120"/>
      <c r="AX51" s="118"/>
      <c r="AY51" s="118"/>
      <c r="AZ51" s="118"/>
    </row>
    <row r="52" spans="1:52" ht="16.5" customHeight="1">
      <c r="A52" s="40"/>
      <c r="B52" s="103">
        <v>9</v>
      </c>
      <c r="C52" s="286" t="s">
        <v>114</v>
      </c>
      <c r="D52" s="67" t="s">
        <v>2169</v>
      </c>
      <c r="E52" s="466" t="s">
        <v>7</v>
      </c>
      <c r="F52" s="469" t="s">
        <v>7</v>
      </c>
      <c r="G52" s="469" t="s">
        <v>7</v>
      </c>
      <c r="H52" s="437">
        <v>0</v>
      </c>
      <c r="I52" s="469" t="s">
        <v>7</v>
      </c>
      <c r="J52" s="469">
        <v>5</v>
      </c>
      <c r="K52" s="469" t="s">
        <v>7</v>
      </c>
      <c r="L52" s="437">
        <v>0</v>
      </c>
      <c r="M52" s="437">
        <v>0</v>
      </c>
      <c r="N52" s="469" t="s">
        <v>7</v>
      </c>
      <c r="O52" s="469" t="s">
        <v>7</v>
      </c>
      <c r="P52" s="437">
        <v>0</v>
      </c>
      <c r="Q52" s="437">
        <v>0</v>
      </c>
      <c r="R52" s="437">
        <v>5</v>
      </c>
      <c r="S52" s="469" t="s">
        <v>7</v>
      </c>
      <c r="T52" s="469" t="s">
        <v>7</v>
      </c>
      <c r="U52" s="469" t="s">
        <v>7</v>
      </c>
      <c r="V52" s="437">
        <v>0</v>
      </c>
      <c r="W52" s="469" t="s">
        <v>7</v>
      </c>
      <c r="X52" s="469">
        <v>20</v>
      </c>
      <c r="Y52" s="437">
        <v>10</v>
      </c>
      <c r="Z52" s="469" t="s">
        <v>7</v>
      </c>
      <c r="AA52" s="437">
        <v>0</v>
      </c>
      <c r="AB52" s="469">
        <v>20</v>
      </c>
      <c r="AC52" s="469" t="s">
        <v>7</v>
      </c>
      <c r="AD52" s="437">
        <v>5</v>
      </c>
      <c r="AE52" s="469" t="s">
        <v>7</v>
      </c>
      <c r="AF52" s="469">
        <v>5</v>
      </c>
      <c r="AG52" s="469">
        <v>15</v>
      </c>
      <c r="AH52" s="437">
        <v>35</v>
      </c>
      <c r="AI52" s="437">
        <v>5</v>
      </c>
      <c r="AJ52" s="531" t="s">
        <v>7</v>
      </c>
      <c r="AK52" s="469" t="s">
        <v>7</v>
      </c>
      <c r="AL52" s="531" t="s">
        <v>7</v>
      </c>
      <c r="AM52" s="208">
        <f t="shared" si="6"/>
        <v>17</v>
      </c>
      <c r="AN52" s="209">
        <f t="shared" si="7"/>
        <v>7.3529411764705879</v>
      </c>
      <c r="AO52" s="210">
        <f t="shared" si="8"/>
        <v>125</v>
      </c>
      <c r="AP52" s="40"/>
      <c r="AR52" s="118"/>
      <c r="AS52" s="120"/>
      <c r="AT52" s="120"/>
      <c r="AU52" s="120"/>
      <c r="AV52" s="120"/>
      <c r="AW52" s="120"/>
      <c r="AX52" s="118"/>
      <c r="AY52" s="118"/>
      <c r="AZ52" s="118"/>
    </row>
    <row r="53" spans="1:52" ht="16.5" customHeight="1">
      <c r="A53" s="40"/>
      <c r="B53" s="103">
        <v>10</v>
      </c>
      <c r="C53" s="286" t="s">
        <v>111</v>
      </c>
      <c r="D53" s="67" t="s">
        <v>2187</v>
      </c>
      <c r="E53" s="466" t="s">
        <v>7</v>
      </c>
      <c r="F53" s="469" t="s">
        <v>7</v>
      </c>
      <c r="G53" s="469" t="s">
        <v>7</v>
      </c>
      <c r="H53" s="469" t="s">
        <v>7</v>
      </c>
      <c r="I53" s="469" t="s">
        <v>7</v>
      </c>
      <c r="J53" s="469" t="s">
        <v>7</v>
      </c>
      <c r="K53" s="469" t="s">
        <v>7</v>
      </c>
      <c r="L53" s="469" t="s">
        <v>7</v>
      </c>
      <c r="M53" s="469" t="s">
        <v>7</v>
      </c>
      <c r="N53" s="469" t="s">
        <v>7</v>
      </c>
      <c r="O53" s="469" t="s">
        <v>7</v>
      </c>
      <c r="P53" s="437">
        <v>5</v>
      </c>
      <c r="Q53" s="469" t="s">
        <v>7</v>
      </c>
      <c r="R53" s="469" t="s">
        <v>7</v>
      </c>
      <c r="S53" s="469" t="s">
        <v>7</v>
      </c>
      <c r="T53" s="469" t="s">
        <v>7</v>
      </c>
      <c r="U53" s="469" t="s">
        <v>7</v>
      </c>
      <c r="V53" s="469" t="s">
        <v>7</v>
      </c>
      <c r="W53" s="469" t="s">
        <v>7</v>
      </c>
      <c r="X53" s="469" t="s">
        <v>7</v>
      </c>
      <c r="Y53" s="469">
        <v>0</v>
      </c>
      <c r="Z53" s="469" t="s">
        <v>7</v>
      </c>
      <c r="AA53" s="469" t="s">
        <v>7</v>
      </c>
      <c r="AB53" s="469" t="s">
        <v>7</v>
      </c>
      <c r="AC53" s="469" t="s">
        <v>7</v>
      </c>
      <c r="AD53" s="469" t="s">
        <v>7</v>
      </c>
      <c r="AE53" s="469" t="s">
        <v>7</v>
      </c>
      <c r="AF53" s="469" t="s">
        <v>7</v>
      </c>
      <c r="AG53" s="469" t="s">
        <v>7</v>
      </c>
      <c r="AH53" s="469" t="s">
        <v>7</v>
      </c>
      <c r="AI53" s="469" t="s">
        <v>7</v>
      </c>
      <c r="AJ53" s="531" t="s">
        <v>7</v>
      </c>
      <c r="AK53" s="469" t="s">
        <v>7</v>
      </c>
      <c r="AL53" s="531" t="s">
        <v>7</v>
      </c>
      <c r="AM53" s="208">
        <f t="shared" si="6"/>
        <v>2</v>
      </c>
      <c r="AN53" s="209">
        <f t="shared" si="7"/>
        <v>2.5</v>
      </c>
      <c r="AO53" s="210">
        <f t="shared" si="8"/>
        <v>5</v>
      </c>
      <c r="AP53" s="40"/>
      <c r="AR53" s="118"/>
      <c r="AS53" s="120"/>
      <c r="AT53" s="120"/>
      <c r="AU53" s="120"/>
      <c r="AV53" s="120"/>
      <c r="AW53" s="120"/>
      <c r="AX53" s="118"/>
      <c r="AY53" s="118"/>
      <c r="AZ53" s="118"/>
    </row>
    <row r="54" spans="1:52" ht="16.5" customHeight="1">
      <c r="A54" s="40"/>
      <c r="B54" s="357" t="s">
        <v>1979</v>
      </c>
      <c r="C54" s="358" t="s">
        <v>111</v>
      </c>
      <c r="D54" s="359" t="s">
        <v>2078</v>
      </c>
      <c r="E54" s="466" t="s">
        <v>7</v>
      </c>
      <c r="F54" s="469" t="s">
        <v>7</v>
      </c>
      <c r="G54" s="469" t="s">
        <v>7</v>
      </c>
      <c r="H54" s="469" t="s">
        <v>7</v>
      </c>
      <c r="I54" s="469" t="s">
        <v>7</v>
      </c>
      <c r="J54" s="469" t="s">
        <v>7</v>
      </c>
      <c r="K54" s="469" t="s">
        <v>7</v>
      </c>
      <c r="L54" s="469" t="s">
        <v>7</v>
      </c>
      <c r="M54" s="469" t="s">
        <v>7</v>
      </c>
      <c r="N54" s="469" t="s">
        <v>7</v>
      </c>
      <c r="O54" s="469" t="s">
        <v>7</v>
      </c>
      <c r="P54" s="469" t="s">
        <v>7</v>
      </c>
      <c r="Q54" s="469" t="s">
        <v>7</v>
      </c>
      <c r="R54" s="469" t="s">
        <v>7</v>
      </c>
      <c r="S54" s="232">
        <v>0</v>
      </c>
      <c r="T54" s="469" t="s">
        <v>7</v>
      </c>
      <c r="U54" s="469" t="s">
        <v>7</v>
      </c>
      <c r="V54" s="469" t="s">
        <v>7</v>
      </c>
      <c r="W54" s="469" t="s">
        <v>7</v>
      </c>
      <c r="X54" s="469">
        <v>0</v>
      </c>
      <c r="Y54" s="469" t="s">
        <v>7</v>
      </c>
      <c r="Z54" s="469" t="s">
        <v>7</v>
      </c>
      <c r="AA54" s="469" t="s">
        <v>7</v>
      </c>
      <c r="AB54" s="469">
        <v>0</v>
      </c>
      <c r="AC54" s="469" t="s">
        <v>7</v>
      </c>
      <c r="AD54" s="469" t="s">
        <v>7</v>
      </c>
      <c r="AE54" s="469" t="s">
        <v>7</v>
      </c>
      <c r="AF54" s="469" t="s">
        <v>7</v>
      </c>
      <c r="AG54" s="469">
        <v>0</v>
      </c>
      <c r="AH54" s="469" t="s">
        <v>7</v>
      </c>
      <c r="AI54" s="469" t="s">
        <v>7</v>
      </c>
      <c r="AJ54" s="531" t="s">
        <v>7</v>
      </c>
      <c r="AK54" s="531" t="s">
        <v>7</v>
      </c>
      <c r="AL54" s="531" t="s">
        <v>7</v>
      </c>
      <c r="AM54" s="208">
        <f t="shared" si="6"/>
        <v>4</v>
      </c>
      <c r="AN54" s="209">
        <f t="shared" si="7"/>
        <v>0</v>
      </c>
      <c r="AO54" s="210">
        <f t="shared" si="8"/>
        <v>0</v>
      </c>
      <c r="AP54" s="40"/>
      <c r="AR54" s="118"/>
      <c r="AS54" s="120"/>
      <c r="AT54" s="120"/>
      <c r="AU54" s="120"/>
      <c r="AV54" s="120"/>
      <c r="AW54" s="120"/>
      <c r="AX54" s="118"/>
      <c r="AY54" s="118"/>
      <c r="AZ54" s="118"/>
    </row>
    <row r="55" spans="1:52" ht="16.5" customHeight="1" thickBot="1">
      <c r="A55" s="40"/>
      <c r="B55" s="356" t="s">
        <v>1979</v>
      </c>
      <c r="C55" s="355" t="s">
        <v>111</v>
      </c>
      <c r="D55" s="354" t="s">
        <v>103</v>
      </c>
      <c r="E55" s="466" t="s">
        <v>7</v>
      </c>
      <c r="F55" s="469" t="s">
        <v>7</v>
      </c>
      <c r="G55" s="469" t="s">
        <v>7</v>
      </c>
      <c r="H55" s="469" t="s">
        <v>7</v>
      </c>
      <c r="I55" s="469" t="s">
        <v>7</v>
      </c>
      <c r="J55" s="469" t="s">
        <v>7</v>
      </c>
      <c r="K55" s="469" t="s">
        <v>7</v>
      </c>
      <c r="L55" s="469" t="s">
        <v>7</v>
      </c>
      <c r="M55" s="469" t="s">
        <v>7</v>
      </c>
      <c r="N55" s="469" t="s">
        <v>7</v>
      </c>
      <c r="O55" s="469" t="s">
        <v>7</v>
      </c>
      <c r="P55" s="469" t="s">
        <v>7</v>
      </c>
      <c r="Q55" s="469" t="s">
        <v>7</v>
      </c>
      <c r="R55" s="469" t="s">
        <v>7</v>
      </c>
      <c r="S55" s="231">
        <v>0</v>
      </c>
      <c r="T55" s="469" t="s">
        <v>7</v>
      </c>
      <c r="U55" s="469" t="s">
        <v>7</v>
      </c>
      <c r="V55" s="469" t="s">
        <v>7</v>
      </c>
      <c r="W55" s="469" t="s">
        <v>7</v>
      </c>
      <c r="X55" s="469">
        <v>0</v>
      </c>
      <c r="Y55" s="469" t="s">
        <v>7</v>
      </c>
      <c r="Z55" s="469" t="s">
        <v>7</v>
      </c>
      <c r="AA55" s="469" t="s">
        <v>7</v>
      </c>
      <c r="AB55" s="232">
        <v>0</v>
      </c>
      <c r="AC55" s="469" t="s">
        <v>7</v>
      </c>
      <c r="AD55" s="469" t="s">
        <v>7</v>
      </c>
      <c r="AE55" s="469" t="s">
        <v>7</v>
      </c>
      <c r="AF55" s="469" t="s">
        <v>7</v>
      </c>
      <c r="AG55" s="437">
        <v>20</v>
      </c>
      <c r="AH55" s="469" t="s">
        <v>7</v>
      </c>
      <c r="AI55" s="469" t="s">
        <v>7</v>
      </c>
      <c r="AJ55" s="531" t="s">
        <v>7</v>
      </c>
      <c r="AK55" s="531" t="s">
        <v>7</v>
      </c>
      <c r="AL55" s="531" t="s">
        <v>7</v>
      </c>
      <c r="AM55" s="211">
        <f t="shared" si="6"/>
        <v>4</v>
      </c>
      <c r="AN55" s="212">
        <f t="shared" si="7"/>
        <v>5</v>
      </c>
      <c r="AO55" s="210">
        <f t="shared" si="8"/>
        <v>20</v>
      </c>
      <c r="AP55" s="40"/>
      <c r="AR55" s="118"/>
      <c r="AS55" s="120"/>
      <c r="AT55" s="120"/>
      <c r="AU55" s="120"/>
      <c r="AV55" s="120"/>
      <c r="AW55" s="120"/>
      <c r="AX55" s="118"/>
      <c r="AY55" s="118"/>
      <c r="AZ55" s="118"/>
    </row>
    <row r="56" spans="1:52" ht="19.5" customHeight="1">
      <c r="A56" s="40"/>
      <c r="B56" s="588" t="s">
        <v>24</v>
      </c>
      <c r="C56" s="589"/>
      <c r="D56" s="590"/>
      <c r="E56" s="213">
        <v>0</v>
      </c>
      <c r="F56" s="214">
        <v>1</v>
      </c>
      <c r="G56" s="214">
        <v>0</v>
      </c>
      <c r="H56" s="214">
        <v>0</v>
      </c>
      <c r="I56" s="214">
        <v>0</v>
      </c>
      <c r="J56" s="214">
        <v>0</v>
      </c>
      <c r="K56" s="214">
        <v>0</v>
      </c>
      <c r="L56" s="214">
        <v>0</v>
      </c>
      <c r="M56" s="214">
        <v>0</v>
      </c>
      <c r="N56" s="214">
        <v>0</v>
      </c>
      <c r="O56" s="214">
        <v>0</v>
      </c>
      <c r="P56" s="214">
        <v>0</v>
      </c>
      <c r="Q56" s="214">
        <v>0</v>
      </c>
      <c r="R56" s="214">
        <v>0</v>
      </c>
      <c r="S56" s="214">
        <v>0</v>
      </c>
      <c r="T56" s="214">
        <v>0</v>
      </c>
      <c r="U56" s="214">
        <v>0</v>
      </c>
      <c r="V56" s="214">
        <v>1</v>
      </c>
      <c r="W56" s="214">
        <v>0</v>
      </c>
      <c r="X56" s="214">
        <v>1</v>
      </c>
      <c r="Y56" s="214">
        <v>0</v>
      </c>
      <c r="Z56" s="214">
        <v>1</v>
      </c>
      <c r="AA56" s="214">
        <v>0</v>
      </c>
      <c r="AB56" s="214">
        <v>0</v>
      </c>
      <c r="AC56" s="214">
        <v>0</v>
      </c>
      <c r="AD56" s="214">
        <v>0</v>
      </c>
      <c r="AE56" s="214">
        <v>0</v>
      </c>
      <c r="AF56" s="214">
        <v>0</v>
      </c>
      <c r="AG56" s="214">
        <v>1</v>
      </c>
      <c r="AH56" s="214">
        <v>0</v>
      </c>
      <c r="AI56" s="214">
        <v>0</v>
      </c>
      <c r="AJ56" s="215">
        <v>0</v>
      </c>
      <c r="AK56" s="215">
        <v>1</v>
      </c>
      <c r="AL56" s="215">
        <v>0</v>
      </c>
      <c r="AM56" s="216" t="s">
        <v>7</v>
      </c>
      <c r="AN56" s="217">
        <f t="shared" si="7"/>
        <v>0.17647058823529413</v>
      </c>
      <c r="AO56" s="218">
        <f t="shared" si="8"/>
        <v>6</v>
      </c>
      <c r="AP56" s="40"/>
      <c r="AR56" s="118"/>
      <c r="AS56" s="120"/>
      <c r="AT56" s="120"/>
      <c r="AU56" s="120"/>
      <c r="AV56" s="120"/>
      <c r="AW56" s="120"/>
      <c r="AX56" s="118"/>
      <c r="AY56" s="118"/>
      <c r="AZ56" s="118"/>
    </row>
    <row r="57" spans="1:52" ht="19.5" customHeight="1">
      <c r="A57" s="40"/>
      <c r="B57" s="598" t="s">
        <v>25</v>
      </c>
      <c r="C57" s="599"/>
      <c r="D57" s="600"/>
      <c r="E57" s="219">
        <v>0</v>
      </c>
      <c r="F57" s="219">
        <v>1</v>
      </c>
      <c r="G57" s="219">
        <v>0</v>
      </c>
      <c r="H57" s="219">
        <v>0</v>
      </c>
      <c r="I57" s="219">
        <v>1</v>
      </c>
      <c r="J57" s="219">
        <v>1</v>
      </c>
      <c r="K57" s="219">
        <v>3</v>
      </c>
      <c r="L57" s="219">
        <v>0</v>
      </c>
      <c r="M57" s="219">
        <v>0</v>
      </c>
      <c r="N57" s="219">
        <v>0</v>
      </c>
      <c r="O57" s="219">
        <v>1</v>
      </c>
      <c r="P57" s="219">
        <v>0</v>
      </c>
      <c r="Q57" s="219">
        <v>1</v>
      </c>
      <c r="R57" s="219">
        <v>1</v>
      </c>
      <c r="S57" s="219">
        <v>1</v>
      </c>
      <c r="T57" s="219">
        <v>1</v>
      </c>
      <c r="U57" s="219">
        <v>0</v>
      </c>
      <c r="V57" s="219">
        <v>1</v>
      </c>
      <c r="W57" s="219">
        <v>1</v>
      </c>
      <c r="X57" s="219">
        <v>2</v>
      </c>
      <c r="Y57" s="219">
        <v>2</v>
      </c>
      <c r="Z57" s="219">
        <v>2</v>
      </c>
      <c r="AA57" s="219">
        <v>0</v>
      </c>
      <c r="AB57" s="219">
        <v>2</v>
      </c>
      <c r="AC57" s="219">
        <v>1</v>
      </c>
      <c r="AD57" s="219">
        <v>1</v>
      </c>
      <c r="AE57" s="219">
        <v>0</v>
      </c>
      <c r="AF57" s="219">
        <v>1</v>
      </c>
      <c r="AG57" s="219">
        <v>2</v>
      </c>
      <c r="AH57" s="219">
        <v>1</v>
      </c>
      <c r="AI57" s="219">
        <v>1</v>
      </c>
      <c r="AJ57" s="220">
        <v>2</v>
      </c>
      <c r="AK57" s="220">
        <v>2</v>
      </c>
      <c r="AL57" s="220">
        <v>1</v>
      </c>
      <c r="AM57" s="220" t="s">
        <v>7</v>
      </c>
      <c r="AN57" s="221">
        <f t="shared" si="7"/>
        <v>0.97058823529411764</v>
      </c>
      <c r="AO57" s="222">
        <f t="shared" si="8"/>
        <v>33</v>
      </c>
      <c r="AP57" s="40"/>
      <c r="AR57" s="118"/>
      <c r="AS57" s="118">
        <f>AS58/16</f>
        <v>46.875</v>
      </c>
      <c r="AT57" s="118">
        <f>AT58/7</f>
        <v>84.285714285714292</v>
      </c>
      <c r="AU57" s="118">
        <f>AU58/7</f>
        <v>157.85714285714286</v>
      </c>
      <c r="AV57" s="118">
        <f>AV58/5</f>
        <v>168</v>
      </c>
      <c r="AW57" s="120"/>
      <c r="AX57" s="118"/>
      <c r="AY57" s="118"/>
      <c r="AZ57" s="118"/>
    </row>
    <row r="58" spans="1:52" ht="21" customHeight="1" thickBot="1">
      <c r="A58" s="40"/>
      <c r="B58" s="595" t="s">
        <v>26</v>
      </c>
      <c r="C58" s="596"/>
      <c r="D58" s="597"/>
      <c r="E58" s="53">
        <v>40</v>
      </c>
      <c r="F58" s="53">
        <v>95</v>
      </c>
      <c r="G58" s="53">
        <v>30</v>
      </c>
      <c r="H58" s="53">
        <v>0</v>
      </c>
      <c r="I58" s="53">
        <v>40</v>
      </c>
      <c r="J58" s="53">
        <v>60</v>
      </c>
      <c r="K58" s="53">
        <v>175</v>
      </c>
      <c r="L58" s="53">
        <v>5</v>
      </c>
      <c r="M58" s="53">
        <v>10</v>
      </c>
      <c r="N58" s="53">
        <v>55</v>
      </c>
      <c r="O58" s="53">
        <v>95</v>
      </c>
      <c r="P58" s="53">
        <v>15</v>
      </c>
      <c r="Q58" s="53">
        <v>55</v>
      </c>
      <c r="R58" s="53">
        <v>55</v>
      </c>
      <c r="S58" s="53">
        <v>215</v>
      </c>
      <c r="T58" s="53">
        <v>45</v>
      </c>
      <c r="U58" s="53">
        <v>40</v>
      </c>
      <c r="V58" s="53">
        <v>80</v>
      </c>
      <c r="W58" s="53">
        <v>85</v>
      </c>
      <c r="X58" s="53">
        <v>310</v>
      </c>
      <c r="Y58" s="53">
        <v>70</v>
      </c>
      <c r="Z58" s="53">
        <v>225</v>
      </c>
      <c r="AA58" s="53">
        <v>35</v>
      </c>
      <c r="AB58" s="53">
        <v>160</v>
      </c>
      <c r="AC58" s="53">
        <v>70</v>
      </c>
      <c r="AD58" s="53">
        <v>55</v>
      </c>
      <c r="AE58" s="53">
        <v>20</v>
      </c>
      <c r="AF58" s="53">
        <v>45</v>
      </c>
      <c r="AG58" s="53">
        <v>390</v>
      </c>
      <c r="AH58" s="53">
        <v>65</v>
      </c>
      <c r="AI58" s="53">
        <v>50</v>
      </c>
      <c r="AJ58" s="54">
        <v>140</v>
      </c>
      <c r="AK58" s="54">
        <v>260</v>
      </c>
      <c r="AL58" s="53">
        <v>105</v>
      </c>
      <c r="AM58" s="55" t="s">
        <v>7</v>
      </c>
      <c r="AN58" s="223">
        <f t="shared" si="7"/>
        <v>93.970588235294116</v>
      </c>
      <c r="AO58" s="56">
        <f t="shared" si="8"/>
        <v>3195</v>
      </c>
      <c r="AP58" s="40"/>
      <c r="AR58" s="118"/>
      <c r="AS58" s="120">
        <f>SUM(F39:H39,J39,L39,M39,P39,Q39,R39,U39,V39,Y39,AD39,AE39,AH39,AI39)</f>
        <v>750</v>
      </c>
      <c r="AT58" s="120">
        <f>SUM(E39,I39,N39,T39,AA39,AC39,AF39)</f>
        <v>590</v>
      </c>
      <c r="AU58" s="120">
        <f>SUM(K39,O39,W39,Z39,AJ39,AK39,AL39)</f>
        <v>1105</v>
      </c>
      <c r="AV58" s="120">
        <f>SUM(S39,X39,AB39,AG39)</f>
        <v>840</v>
      </c>
      <c r="AW58" s="120"/>
      <c r="AX58" s="118"/>
      <c r="AY58" s="118"/>
      <c r="AZ58" s="118"/>
    </row>
    <row r="59" spans="1:52" ht="12.75" customHeight="1" thickBot="1">
      <c r="A59" s="40"/>
      <c r="B59" s="57"/>
      <c r="C59" s="291"/>
      <c r="D59" s="58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60"/>
      <c r="AO59" s="61"/>
      <c r="AP59" s="40"/>
      <c r="AR59" s="118"/>
      <c r="AS59" s="120"/>
      <c r="AT59" s="120"/>
      <c r="AU59" s="120"/>
      <c r="AV59" s="120"/>
      <c r="AW59" s="120"/>
      <c r="AX59" s="118"/>
      <c r="AY59" s="118"/>
      <c r="AZ59" s="118"/>
    </row>
    <row r="60" spans="1:52" ht="27" thickBot="1">
      <c r="A60" s="40"/>
      <c r="B60" s="737" t="s">
        <v>13</v>
      </c>
      <c r="C60" s="738"/>
      <c r="D60" s="738"/>
      <c r="E60" s="186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  <c r="X60" s="187"/>
      <c r="Y60" s="187"/>
      <c r="Z60" s="188"/>
      <c r="AA60" s="188"/>
      <c r="AB60" s="188"/>
      <c r="AC60" s="188"/>
      <c r="AD60" s="188"/>
      <c r="AE60" s="188"/>
      <c r="AF60" s="188"/>
      <c r="AG60" s="188"/>
      <c r="AH60" s="188"/>
      <c r="AI60" s="226">
        <v>0</v>
      </c>
      <c r="AJ60" s="227">
        <v>1</v>
      </c>
      <c r="AK60" s="228">
        <v>0</v>
      </c>
      <c r="AL60" s="233">
        <v>8</v>
      </c>
      <c r="AM60" s="633" t="s">
        <v>2020</v>
      </c>
      <c r="AN60" s="634"/>
      <c r="AO60" s="635"/>
      <c r="AP60" s="40"/>
      <c r="AR60" s="121"/>
      <c r="AS60" s="121"/>
      <c r="AT60" s="121"/>
      <c r="AU60" s="121"/>
      <c r="AV60" s="121"/>
      <c r="AW60" s="121"/>
      <c r="AX60" s="121"/>
      <c r="AY60" s="121"/>
      <c r="AZ60" s="121"/>
    </row>
    <row r="61" spans="1:52" ht="13.5" customHeight="1">
      <c r="A61" s="40"/>
      <c r="B61" s="739" t="s">
        <v>16</v>
      </c>
      <c r="C61" s="740"/>
      <c r="D61" s="741"/>
      <c r="E61" s="104">
        <v>1</v>
      </c>
      <c r="F61" s="104">
        <v>2</v>
      </c>
      <c r="G61" s="104">
        <v>3</v>
      </c>
      <c r="H61" s="104">
        <v>4</v>
      </c>
      <c r="I61" s="104">
        <v>5</v>
      </c>
      <c r="J61" s="104">
        <v>6</v>
      </c>
      <c r="K61" s="104">
        <v>7</v>
      </c>
      <c r="L61" s="104">
        <v>8</v>
      </c>
      <c r="M61" s="104">
        <v>9</v>
      </c>
      <c r="N61" s="104">
        <v>10</v>
      </c>
      <c r="O61" s="104">
        <v>11</v>
      </c>
      <c r="P61" s="104">
        <v>12</v>
      </c>
      <c r="Q61" s="104">
        <v>13</v>
      </c>
      <c r="R61" s="104">
        <v>14</v>
      </c>
      <c r="S61" s="104">
        <v>15</v>
      </c>
      <c r="T61" s="104">
        <v>16</v>
      </c>
      <c r="U61" s="104">
        <v>17</v>
      </c>
      <c r="V61" s="105">
        <v>18</v>
      </c>
      <c r="W61" s="105">
        <v>19</v>
      </c>
      <c r="X61" s="105">
        <v>20</v>
      </c>
      <c r="Y61" s="105">
        <v>21</v>
      </c>
      <c r="Z61" s="105">
        <v>22</v>
      </c>
      <c r="AA61" s="105">
        <v>23</v>
      </c>
      <c r="AB61" s="105">
        <v>24</v>
      </c>
      <c r="AC61" s="105">
        <v>25</v>
      </c>
      <c r="AD61" s="105">
        <v>26</v>
      </c>
      <c r="AE61" s="105">
        <v>27</v>
      </c>
      <c r="AF61" s="105">
        <v>28</v>
      </c>
      <c r="AG61" s="105">
        <v>29</v>
      </c>
      <c r="AH61" s="105">
        <v>30</v>
      </c>
      <c r="AI61" s="105">
        <v>31</v>
      </c>
      <c r="AJ61" s="105">
        <v>32</v>
      </c>
      <c r="AK61" s="105">
        <v>33</v>
      </c>
      <c r="AL61" s="105">
        <v>34</v>
      </c>
      <c r="AM61" s="629" t="s">
        <v>17</v>
      </c>
      <c r="AN61" s="631" t="s">
        <v>18</v>
      </c>
      <c r="AO61" s="733" t="s">
        <v>19</v>
      </c>
      <c r="AP61" s="40"/>
      <c r="AR61" s="118"/>
      <c r="AS61" s="120"/>
      <c r="AT61" s="120"/>
      <c r="AU61" s="120"/>
      <c r="AV61" s="120"/>
      <c r="AW61" s="120"/>
      <c r="AX61" s="118"/>
      <c r="AY61" s="118"/>
      <c r="AZ61" s="118"/>
    </row>
    <row r="62" spans="1:52" ht="13.5" customHeight="1" thickBot="1">
      <c r="A62" s="40"/>
      <c r="B62" s="742"/>
      <c r="C62" s="743"/>
      <c r="D62" s="744"/>
      <c r="E62" s="106" t="s">
        <v>21</v>
      </c>
      <c r="F62" s="106" t="s">
        <v>20</v>
      </c>
      <c r="G62" s="106" t="s">
        <v>20</v>
      </c>
      <c r="H62" s="106" t="s">
        <v>20</v>
      </c>
      <c r="I62" s="106" t="s">
        <v>21</v>
      </c>
      <c r="J62" s="106" t="s">
        <v>20</v>
      </c>
      <c r="K62" s="106" t="s">
        <v>22</v>
      </c>
      <c r="L62" s="106" t="s">
        <v>20</v>
      </c>
      <c r="M62" s="106" t="s">
        <v>20</v>
      </c>
      <c r="N62" s="106" t="s">
        <v>21</v>
      </c>
      <c r="O62" s="106" t="s">
        <v>22</v>
      </c>
      <c r="P62" s="106" t="s">
        <v>20</v>
      </c>
      <c r="Q62" s="106" t="s">
        <v>20</v>
      </c>
      <c r="R62" s="106" t="s">
        <v>20</v>
      </c>
      <c r="S62" s="106" t="s">
        <v>23</v>
      </c>
      <c r="T62" s="106" t="s">
        <v>21</v>
      </c>
      <c r="U62" s="106" t="s">
        <v>20</v>
      </c>
      <c r="V62" s="106" t="s">
        <v>20</v>
      </c>
      <c r="W62" s="106" t="s">
        <v>22</v>
      </c>
      <c r="X62" s="106" t="s">
        <v>23</v>
      </c>
      <c r="Y62" s="106" t="s">
        <v>20</v>
      </c>
      <c r="Z62" s="106" t="s">
        <v>22</v>
      </c>
      <c r="AA62" s="106" t="s">
        <v>21</v>
      </c>
      <c r="AB62" s="106" t="s">
        <v>23</v>
      </c>
      <c r="AC62" s="106" t="s">
        <v>21</v>
      </c>
      <c r="AD62" s="106" t="s">
        <v>20</v>
      </c>
      <c r="AE62" s="106" t="s">
        <v>20</v>
      </c>
      <c r="AF62" s="106" t="s">
        <v>21</v>
      </c>
      <c r="AG62" s="106" t="s">
        <v>23</v>
      </c>
      <c r="AH62" s="106" t="s">
        <v>20</v>
      </c>
      <c r="AI62" s="106" t="s">
        <v>20</v>
      </c>
      <c r="AJ62" s="106" t="s">
        <v>22</v>
      </c>
      <c r="AK62" s="106" t="s">
        <v>22</v>
      </c>
      <c r="AL62" s="106" t="s">
        <v>22</v>
      </c>
      <c r="AM62" s="630"/>
      <c r="AN62" s="632"/>
      <c r="AO62" s="734"/>
      <c r="AP62" s="40"/>
      <c r="AR62" s="118"/>
      <c r="AS62" s="120"/>
      <c r="AT62" s="120"/>
      <c r="AU62" s="120"/>
      <c r="AV62" s="120"/>
      <c r="AW62" s="120"/>
      <c r="AX62" s="118"/>
      <c r="AY62" s="118"/>
      <c r="AZ62" s="118"/>
    </row>
    <row r="63" spans="1:52" ht="16.5" customHeight="1">
      <c r="A63" s="40"/>
      <c r="B63" s="107">
        <v>1</v>
      </c>
      <c r="C63" s="297" t="s">
        <v>111</v>
      </c>
      <c r="D63" s="108" t="s">
        <v>2063</v>
      </c>
      <c r="E63" s="436">
        <v>5</v>
      </c>
      <c r="F63" s="469" t="s">
        <v>7</v>
      </c>
      <c r="G63" s="437">
        <v>45</v>
      </c>
      <c r="H63" s="469" t="s">
        <v>7</v>
      </c>
      <c r="I63" s="437">
        <v>5</v>
      </c>
      <c r="J63" s="437">
        <v>20</v>
      </c>
      <c r="K63" s="437">
        <v>40</v>
      </c>
      <c r="L63" s="469" t="s">
        <v>7</v>
      </c>
      <c r="M63" s="469" t="s">
        <v>7</v>
      </c>
      <c r="N63" s="437">
        <v>5</v>
      </c>
      <c r="O63" s="437">
        <v>10</v>
      </c>
      <c r="P63" s="437">
        <v>45</v>
      </c>
      <c r="Q63" s="469" t="s">
        <v>7</v>
      </c>
      <c r="R63" s="469" t="s">
        <v>7</v>
      </c>
      <c r="S63" s="231">
        <v>15</v>
      </c>
      <c r="T63" s="438">
        <v>125</v>
      </c>
      <c r="U63" s="469" t="s">
        <v>7</v>
      </c>
      <c r="V63" s="476" t="s">
        <v>7</v>
      </c>
      <c r="W63" s="208">
        <v>90</v>
      </c>
      <c r="X63" s="469">
        <v>0</v>
      </c>
      <c r="Y63" s="476" t="s">
        <v>7</v>
      </c>
      <c r="Z63" s="208">
        <v>10</v>
      </c>
      <c r="AA63" s="476" t="s">
        <v>7</v>
      </c>
      <c r="AB63" s="469">
        <v>0</v>
      </c>
      <c r="AC63" s="208">
        <v>30</v>
      </c>
      <c r="AD63" s="476" t="s">
        <v>7</v>
      </c>
      <c r="AE63" s="476" t="s">
        <v>7</v>
      </c>
      <c r="AF63" s="437">
        <v>10</v>
      </c>
      <c r="AG63" s="208">
        <v>15</v>
      </c>
      <c r="AH63" s="476" t="s">
        <v>7</v>
      </c>
      <c r="AI63" s="476" t="s">
        <v>7</v>
      </c>
      <c r="AJ63" s="437">
        <v>10</v>
      </c>
      <c r="AK63" s="440">
        <v>10</v>
      </c>
      <c r="AL63" s="440">
        <v>40</v>
      </c>
      <c r="AM63" s="205">
        <f t="shared" ref="AM63:AM74" si="9">COUNT(E63:AL63)</f>
        <v>20</v>
      </c>
      <c r="AN63" s="206">
        <f t="shared" ref="AN63:AN77" si="10">IF(ISERROR(AVERAGE(E63:AL63)),0,(AVERAGE(E63:AL63)))</f>
        <v>26.5</v>
      </c>
      <c r="AO63" s="207">
        <f t="shared" ref="AO63:AO77" si="11">SUM(E63:AL63)</f>
        <v>530</v>
      </c>
      <c r="AP63" s="40"/>
      <c r="AR63" s="118"/>
      <c r="AS63" s="120"/>
      <c r="AT63" s="120"/>
      <c r="AU63" s="120"/>
      <c r="AV63" s="120"/>
      <c r="AW63" s="120"/>
      <c r="AX63" s="118"/>
      <c r="AY63" s="118"/>
      <c r="AZ63" s="118"/>
    </row>
    <row r="64" spans="1:52" ht="16.5" customHeight="1">
      <c r="A64" s="40"/>
      <c r="B64" s="109">
        <v>2</v>
      </c>
      <c r="C64" s="298" t="s">
        <v>114</v>
      </c>
      <c r="D64" s="110" t="s">
        <v>2064</v>
      </c>
      <c r="E64" s="466" t="s">
        <v>7</v>
      </c>
      <c r="F64" s="469" t="s">
        <v>7</v>
      </c>
      <c r="G64" s="469" t="s">
        <v>7</v>
      </c>
      <c r="H64" s="469" t="s">
        <v>7</v>
      </c>
      <c r="I64" s="437">
        <v>10</v>
      </c>
      <c r="J64" s="469" t="s">
        <v>7</v>
      </c>
      <c r="K64" s="437">
        <v>50</v>
      </c>
      <c r="L64" s="469" t="s">
        <v>7</v>
      </c>
      <c r="M64" s="469" t="s">
        <v>7</v>
      </c>
      <c r="N64" s="437">
        <v>20</v>
      </c>
      <c r="O64" s="437">
        <v>30</v>
      </c>
      <c r="P64" s="437">
        <v>10</v>
      </c>
      <c r="Q64" s="469" t="s">
        <v>7</v>
      </c>
      <c r="R64" s="437">
        <v>0</v>
      </c>
      <c r="S64" s="437">
        <v>20</v>
      </c>
      <c r="T64" s="437">
        <v>30</v>
      </c>
      <c r="U64" s="469" t="s">
        <v>7</v>
      </c>
      <c r="V64" s="469" t="s">
        <v>7</v>
      </c>
      <c r="W64" s="437">
        <v>60</v>
      </c>
      <c r="X64" s="437">
        <v>15</v>
      </c>
      <c r="Y64" s="437">
        <v>30</v>
      </c>
      <c r="Z64" s="437">
        <v>15</v>
      </c>
      <c r="AA64" s="469" t="s">
        <v>7</v>
      </c>
      <c r="AB64" s="437">
        <v>0</v>
      </c>
      <c r="AC64" s="437">
        <v>70</v>
      </c>
      <c r="AD64" s="469" t="s">
        <v>7</v>
      </c>
      <c r="AE64" s="469" t="s">
        <v>7</v>
      </c>
      <c r="AF64" s="437">
        <v>5</v>
      </c>
      <c r="AG64" s="437">
        <v>20</v>
      </c>
      <c r="AH64" s="469" t="s">
        <v>7</v>
      </c>
      <c r="AI64" s="469" t="s">
        <v>7</v>
      </c>
      <c r="AJ64" s="437">
        <v>70</v>
      </c>
      <c r="AK64" s="441">
        <v>60</v>
      </c>
      <c r="AL64" s="473">
        <v>150</v>
      </c>
      <c r="AM64" s="208">
        <f t="shared" si="9"/>
        <v>19</v>
      </c>
      <c r="AN64" s="209">
        <f t="shared" si="10"/>
        <v>35</v>
      </c>
      <c r="AO64" s="210">
        <f t="shared" si="11"/>
        <v>665</v>
      </c>
      <c r="AP64" s="40"/>
      <c r="AR64" s="118"/>
      <c r="AS64" s="120"/>
      <c r="AT64" s="120"/>
      <c r="AU64" s="120"/>
      <c r="AV64" s="120"/>
      <c r="AW64" s="120"/>
      <c r="AX64" s="118"/>
      <c r="AY64" s="118"/>
      <c r="AZ64" s="118"/>
    </row>
    <row r="65" spans="1:52" ht="16.5" customHeight="1">
      <c r="A65" s="40"/>
      <c r="B65" s="109">
        <v>3</v>
      </c>
      <c r="C65" s="298" t="s">
        <v>111</v>
      </c>
      <c r="D65" s="110" t="s">
        <v>2113</v>
      </c>
      <c r="E65" s="436">
        <v>5</v>
      </c>
      <c r="F65" s="437">
        <v>20</v>
      </c>
      <c r="G65" s="469" t="s">
        <v>7</v>
      </c>
      <c r="H65" s="469" t="s">
        <v>7</v>
      </c>
      <c r="I65" s="437">
        <v>40</v>
      </c>
      <c r="J65" s="469" t="s">
        <v>7</v>
      </c>
      <c r="K65" s="437">
        <v>10</v>
      </c>
      <c r="L65" s="469" t="s">
        <v>7</v>
      </c>
      <c r="M65" s="437">
        <v>20</v>
      </c>
      <c r="N65" s="438">
        <v>125</v>
      </c>
      <c r="O65" s="437">
        <v>10</v>
      </c>
      <c r="P65" s="469" t="s">
        <v>7</v>
      </c>
      <c r="Q65" s="469" t="s">
        <v>7</v>
      </c>
      <c r="R65" s="469" t="s">
        <v>7</v>
      </c>
      <c r="S65" s="437">
        <v>0</v>
      </c>
      <c r="T65" s="437">
        <v>30</v>
      </c>
      <c r="U65" s="469" t="s">
        <v>7</v>
      </c>
      <c r="V65" s="469" t="s">
        <v>7</v>
      </c>
      <c r="W65" s="231">
        <v>10</v>
      </c>
      <c r="X65" s="437">
        <v>0</v>
      </c>
      <c r="Y65" s="469" t="s">
        <v>7</v>
      </c>
      <c r="Z65" s="437">
        <v>50</v>
      </c>
      <c r="AA65" s="469" t="s">
        <v>7</v>
      </c>
      <c r="AB65" s="437">
        <v>60</v>
      </c>
      <c r="AC65" s="437">
        <v>70</v>
      </c>
      <c r="AD65" s="469" t="s">
        <v>7</v>
      </c>
      <c r="AE65" s="469" t="s">
        <v>7</v>
      </c>
      <c r="AF65" s="469" t="s">
        <v>7</v>
      </c>
      <c r="AG65" s="437">
        <v>60</v>
      </c>
      <c r="AH65" s="469" t="s">
        <v>7</v>
      </c>
      <c r="AI65" s="469" t="s">
        <v>7</v>
      </c>
      <c r="AJ65" s="441">
        <v>15</v>
      </c>
      <c r="AK65" s="441">
        <v>30</v>
      </c>
      <c r="AL65" s="441">
        <v>90</v>
      </c>
      <c r="AM65" s="208">
        <f t="shared" si="9"/>
        <v>18</v>
      </c>
      <c r="AN65" s="209">
        <f t="shared" si="10"/>
        <v>35.833333333333336</v>
      </c>
      <c r="AO65" s="210">
        <f t="shared" si="11"/>
        <v>645</v>
      </c>
      <c r="AP65" s="40"/>
      <c r="AR65" s="118"/>
      <c r="AS65" s="120"/>
      <c r="AT65" s="120"/>
      <c r="AU65" s="120"/>
      <c r="AV65" s="120"/>
      <c r="AW65" s="120"/>
      <c r="AX65" s="118"/>
      <c r="AY65" s="118"/>
      <c r="AZ65" s="118"/>
    </row>
    <row r="66" spans="1:52" ht="16.5" customHeight="1">
      <c r="A66" s="40"/>
      <c r="B66" s="109">
        <v>4</v>
      </c>
      <c r="C66" s="298" t="s">
        <v>129</v>
      </c>
      <c r="D66" s="110" t="s">
        <v>2122</v>
      </c>
      <c r="E66" s="436">
        <v>5</v>
      </c>
      <c r="F66" s="469" t="s">
        <v>7</v>
      </c>
      <c r="G66" s="469" t="s">
        <v>7</v>
      </c>
      <c r="H66" s="437">
        <v>0</v>
      </c>
      <c r="I66" s="469">
        <v>0</v>
      </c>
      <c r="J66" s="437">
        <v>0</v>
      </c>
      <c r="K66" s="469">
        <v>10</v>
      </c>
      <c r="L66" s="469" t="s">
        <v>7</v>
      </c>
      <c r="M66" s="437">
        <v>5</v>
      </c>
      <c r="N66" s="469">
        <v>0</v>
      </c>
      <c r="O66" s="469">
        <v>0</v>
      </c>
      <c r="P66" s="437">
        <v>5</v>
      </c>
      <c r="Q66" s="469" t="s">
        <v>7</v>
      </c>
      <c r="R66" s="469" t="s">
        <v>7</v>
      </c>
      <c r="S66" s="469">
        <v>0</v>
      </c>
      <c r="T66" s="469">
        <v>5</v>
      </c>
      <c r="U66" s="437">
        <v>0</v>
      </c>
      <c r="V66" s="469" t="s">
        <v>7</v>
      </c>
      <c r="W66" s="469">
        <v>0</v>
      </c>
      <c r="X66" s="230">
        <v>15</v>
      </c>
      <c r="Y66" s="469" t="s">
        <v>7</v>
      </c>
      <c r="Z66" s="469">
        <v>0</v>
      </c>
      <c r="AA66" s="437">
        <v>0</v>
      </c>
      <c r="AB66" s="469">
        <v>0</v>
      </c>
      <c r="AC66" s="469">
        <v>0</v>
      </c>
      <c r="AD66" s="469" t="s">
        <v>7</v>
      </c>
      <c r="AE66" s="469" t="s">
        <v>7</v>
      </c>
      <c r="AF66" s="469">
        <v>0</v>
      </c>
      <c r="AG66" s="469">
        <v>0</v>
      </c>
      <c r="AH66" s="437">
        <v>5</v>
      </c>
      <c r="AI66" s="437">
        <v>0</v>
      </c>
      <c r="AJ66" s="531" t="s">
        <v>7</v>
      </c>
      <c r="AK66" s="531" t="s">
        <v>7</v>
      </c>
      <c r="AL66" s="531" t="s">
        <v>7</v>
      </c>
      <c r="AM66" s="208">
        <f t="shared" si="9"/>
        <v>22</v>
      </c>
      <c r="AN66" s="209">
        <f t="shared" si="10"/>
        <v>2.2727272727272729</v>
      </c>
      <c r="AO66" s="210">
        <f t="shared" si="11"/>
        <v>50</v>
      </c>
      <c r="AP66" s="40"/>
      <c r="AR66" s="118"/>
      <c r="AS66" s="120"/>
      <c r="AT66" s="120"/>
      <c r="AU66" s="120"/>
      <c r="AV66" s="120"/>
      <c r="AW66" s="120"/>
      <c r="AX66" s="118"/>
      <c r="AY66" s="118"/>
      <c r="AZ66" s="118"/>
    </row>
    <row r="67" spans="1:52" ht="16.5" customHeight="1">
      <c r="A67" s="40"/>
      <c r="B67" s="109">
        <v>5</v>
      </c>
      <c r="C67" s="298" t="s">
        <v>121</v>
      </c>
      <c r="D67" s="110" t="s">
        <v>2139</v>
      </c>
      <c r="E67" s="436">
        <v>20</v>
      </c>
      <c r="F67" s="437">
        <v>5</v>
      </c>
      <c r="G67" s="469" t="s">
        <v>7</v>
      </c>
      <c r="H67" s="437">
        <v>20</v>
      </c>
      <c r="I67" s="437">
        <v>30</v>
      </c>
      <c r="J67" s="469" t="s">
        <v>7</v>
      </c>
      <c r="K67" s="437">
        <v>10</v>
      </c>
      <c r="L67" s="469" t="s">
        <v>7</v>
      </c>
      <c r="M67" s="437">
        <v>0</v>
      </c>
      <c r="N67" s="437">
        <v>0</v>
      </c>
      <c r="O67" s="437">
        <v>10</v>
      </c>
      <c r="P67" s="469" t="s">
        <v>7</v>
      </c>
      <c r="Q67" s="437">
        <v>25</v>
      </c>
      <c r="R67" s="469" t="s">
        <v>7</v>
      </c>
      <c r="S67" s="437">
        <v>0</v>
      </c>
      <c r="T67" s="437">
        <v>5</v>
      </c>
      <c r="U67" s="469" t="s">
        <v>7</v>
      </c>
      <c r="V67" s="437">
        <v>0</v>
      </c>
      <c r="W67" s="437">
        <v>0</v>
      </c>
      <c r="X67" s="437">
        <v>80</v>
      </c>
      <c r="Y67" s="469" t="s">
        <v>7</v>
      </c>
      <c r="Z67" s="437">
        <v>30</v>
      </c>
      <c r="AA67" s="437">
        <v>5</v>
      </c>
      <c r="AB67" s="437">
        <v>15</v>
      </c>
      <c r="AC67" s="437">
        <v>10</v>
      </c>
      <c r="AD67" s="469" t="s">
        <v>7</v>
      </c>
      <c r="AE67" s="469" t="s">
        <v>7</v>
      </c>
      <c r="AF67" s="437">
        <v>20</v>
      </c>
      <c r="AG67" s="437">
        <v>0</v>
      </c>
      <c r="AH67" s="437">
        <v>0</v>
      </c>
      <c r="AI67" s="469" t="s">
        <v>7</v>
      </c>
      <c r="AJ67" s="437">
        <v>10</v>
      </c>
      <c r="AK67" s="437">
        <v>30</v>
      </c>
      <c r="AL67" s="531" t="s">
        <v>7</v>
      </c>
      <c r="AM67" s="208">
        <f t="shared" si="9"/>
        <v>23</v>
      </c>
      <c r="AN67" s="209">
        <f t="shared" si="10"/>
        <v>14.130434782608695</v>
      </c>
      <c r="AO67" s="210">
        <f t="shared" si="11"/>
        <v>325</v>
      </c>
      <c r="AP67" s="40"/>
      <c r="AR67" s="118"/>
      <c r="AS67" s="120"/>
      <c r="AT67" s="120"/>
      <c r="AU67" s="120"/>
      <c r="AV67" s="120"/>
      <c r="AW67" s="120"/>
      <c r="AX67" s="118"/>
      <c r="AY67" s="118"/>
      <c r="AZ67" s="118"/>
    </row>
    <row r="68" spans="1:52" ht="16.5" customHeight="1">
      <c r="A68" s="40"/>
      <c r="B68" s="109">
        <v>6</v>
      </c>
      <c r="C68" s="298" t="s">
        <v>2189</v>
      </c>
      <c r="D68" s="110" t="s">
        <v>2141</v>
      </c>
      <c r="E68" s="436">
        <v>5</v>
      </c>
      <c r="F68" s="469" t="s">
        <v>7</v>
      </c>
      <c r="G68" s="437">
        <v>0</v>
      </c>
      <c r="H68" s="469" t="s">
        <v>7</v>
      </c>
      <c r="I68" s="469">
        <v>5</v>
      </c>
      <c r="J68" s="437">
        <v>30</v>
      </c>
      <c r="K68" s="437">
        <v>10</v>
      </c>
      <c r="L68" s="469" t="s">
        <v>7</v>
      </c>
      <c r="M68" s="437">
        <v>5</v>
      </c>
      <c r="N68" s="469">
        <v>10</v>
      </c>
      <c r="O68" s="469">
        <v>0</v>
      </c>
      <c r="P68" s="469">
        <v>0</v>
      </c>
      <c r="Q68" s="469" t="s">
        <v>7</v>
      </c>
      <c r="R68" s="469" t="s">
        <v>7</v>
      </c>
      <c r="S68" s="232">
        <v>0</v>
      </c>
      <c r="T68" s="469">
        <v>5</v>
      </c>
      <c r="U68" s="437">
        <v>0</v>
      </c>
      <c r="V68" s="469" t="s">
        <v>7</v>
      </c>
      <c r="W68" s="469">
        <v>10</v>
      </c>
      <c r="X68" s="469">
        <v>15</v>
      </c>
      <c r="Y68" s="437">
        <v>10</v>
      </c>
      <c r="Z68" s="469">
        <v>0</v>
      </c>
      <c r="AA68" s="469" t="s">
        <v>7</v>
      </c>
      <c r="AB68" s="469">
        <v>40</v>
      </c>
      <c r="AC68" s="469">
        <v>5</v>
      </c>
      <c r="AD68" s="469" t="s">
        <v>7</v>
      </c>
      <c r="AE68" s="437">
        <v>0</v>
      </c>
      <c r="AF68" s="469">
        <v>20</v>
      </c>
      <c r="AG68" s="230">
        <v>15</v>
      </c>
      <c r="AH68" s="437">
        <v>10</v>
      </c>
      <c r="AI68" s="437">
        <v>0</v>
      </c>
      <c r="AJ68" s="531" t="s">
        <v>7</v>
      </c>
      <c r="AK68" s="469" t="s">
        <v>7</v>
      </c>
      <c r="AL68" s="531" t="s">
        <v>7</v>
      </c>
      <c r="AM68" s="208">
        <f t="shared" si="9"/>
        <v>23</v>
      </c>
      <c r="AN68" s="209">
        <f t="shared" si="10"/>
        <v>8.4782608695652169</v>
      </c>
      <c r="AO68" s="210">
        <f t="shared" si="11"/>
        <v>195</v>
      </c>
      <c r="AP68" s="40"/>
      <c r="AR68" s="118"/>
      <c r="AS68" s="120"/>
      <c r="AT68" s="120"/>
      <c r="AU68" s="120"/>
      <c r="AV68" s="120"/>
      <c r="AW68" s="120"/>
      <c r="AX68" s="118"/>
      <c r="AY68" s="118"/>
      <c r="AZ68" s="118"/>
    </row>
    <row r="69" spans="1:52" ht="16.5" customHeight="1">
      <c r="A69" s="40"/>
      <c r="B69" s="109">
        <v>7</v>
      </c>
      <c r="C69" s="298" t="s">
        <v>111</v>
      </c>
      <c r="D69" s="110" t="s">
        <v>2157</v>
      </c>
      <c r="E69" s="466">
        <v>0</v>
      </c>
      <c r="F69" s="437">
        <v>25</v>
      </c>
      <c r="G69" s="437">
        <v>0</v>
      </c>
      <c r="H69" s="437">
        <v>0</v>
      </c>
      <c r="I69" s="469">
        <v>10</v>
      </c>
      <c r="J69" s="437">
        <v>0</v>
      </c>
      <c r="K69" s="469">
        <v>0</v>
      </c>
      <c r="L69" s="469" t="s">
        <v>7</v>
      </c>
      <c r="M69" s="437">
        <v>0</v>
      </c>
      <c r="N69" s="469">
        <v>5</v>
      </c>
      <c r="O69" s="469">
        <v>0</v>
      </c>
      <c r="P69" s="437">
        <v>15</v>
      </c>
      <c r="Q69" s="437">
        <v>15</v>
      </c>
      <c r="R69" s="437">
        <v>5</v>
      </c>
      <c r="S69" s="469" t="s">
        <v>7</v>
      </c>
      <c r="T69" s="469">
        <v>10</v>
      </c>
      <c r="U69" s="437">
        <v>0</v>
      </c>
      <c r="V69" s="437">
        <v>25</v>
      </c>
      <c r="W69" s="469">
        <v>10</v>
      </c>
      <c r="X69" s="469">
        <v>15</v>
      </c>
      <c r="Y69" s="437">
        <v>5</v>
      </c>
      <c r="Z69" s="469">
        <v>10</v>
      </c>
      <c r="AA69" s="437">
        <v>0</v>
      </c>
      <c r="AB69" s="469">
        <v>0</v>
      </c>
      <c r="AC69" s="469">
        <v>0</v>
      </c>
      <c r="AD69" s="469" t="s">
        <v>7</v>
      </c>
      <c r="AE69" s="437">
        <v>0</v>
      </c>
      <c r="AF69" s="469" t="s">
        <v>7</v>
      </c>
      <c r="AG69" s="469" t="s">
        <v>7</v>
      </c>
      <c r="AH69" s="437">
        <v>0</v>
      </c>
      <c r="AI69" s="437">
        <v>0</v>
      </c>
      <c r="AJ69" s="469" t="s">
        <v>7</v>
      </c>
      <c r="AK69" s="469" t="s">
        <v>7</v>
      </c>
      <c r="AL69" s="469" t="s">
        <v>7</v>
      </c>
      <c r="AM69" s="208">
        <f t="shared" si="9"/>
        <v>26</v>
      </c>
      <c r="AN69" s="209">
        <f t="shared" si="10"/>
        <v>5.7692307692307692</v>
      </c>
      <c r="AO69" s="210">
        <f t="shared" si="11"/>
        <v>150</v>
      </c>
      <c r="AP69" s="40"/>
      <c r="AR69" s="118"/>
      <c r="AS69" s="120"/>
      <c r="AT69" s="120"/>
      <c r="AU69" s="120"/>
      <c r="AV69" s="120"/>
      <c r="AW69" s="120"/>
      <c r="AX69" s="118"/>
      <c r="AY69" s="118"/>
      <c r="AZ69" s="118"/>
    </row>
    <row r="70" spans="1:52" ht="16.5" customHeight="1">
      <c r="A70" s="40"/>
      <c r="B70" s="109">
        <v>8</v>
      </c>
      <c r="C70" s="298" t="s">
        <v>111</v>
      </c>
      <c r="D70" s="110" t="s">
        <v>2207</v>
      </c>
      <c r="E70" s="229" t="s">
        <v>7</v>
      </c>
      <c r="F70" s="229">
        <v>0</v>
      </c>
      <c r="G70" s="229">
        <v>0</v>
      </c>
      <c r="H70" s="229">
        <v>0</v>
      </c>
      <c r="I70" s="229" t="s">
        <v>7</v>
      </c>
      <c r="J70" s="229">
        <v>75</v>
      </c>
      <c r="K70" s="229" t="s">
        <v>7</v>
      </c>
      <c r="L70" s="229" t="s">
        <v>7</v>
      </c>
      <c r="M70" s="229">
        <v>5</v>
      </c>
      <c r="N70" s="229">
        <v>0</v>
      </c>
      <c r="O70" s="229">
        <v>0</v>
      </c>
      <c r="P70" s="229">
        <v>0</v>
      </c>
      <c r="Q70" s="229" t="s">
        <v>7</v>
      </c>
      <c r="R70" s="229" t="s">
        <v>7</v>
      </c>
      <c r="S70" s="229">
        <v>15</v>
      </c>
      <c r="T70" s="229">
        <v>10</v>
      </c>
      <c r="U70" s="229" t="s">
        <v>7</v>
      </c>
      <c r="V70" s="229">
        <v>0</v>
      </c>
      <c r="W70" s="229">
        <v>10</v>
      </c>
      <c r="X70" s="229">
        <v>0</v>
      </c>
      <c r="Y70" s="229">
        <v>0</v>
      </c>
      <c r="Z70" s="229">
        <v>0</v>
      </c>
      <c r="AA70" s="229" t="s">
        <v>7</v>
      </c>
      <c r="AB70" s="229">
        <v>0</v>
      </c>
      <c r="AC70" s="229" t="s">
        <v>7</v>
      </c>
      <c r="AD70" s="229">
        <v>75</v>
      </c>
      <c r="AE70" s="229" t="s">
        <v>7</v>
      </c>
      <c r="AF70" s="229">
        <v>0</v>
      </c>
      <c r="AG70" s="469">
        <v>0</v>
      </c>
      <c r="AH70" s="469" t="s">
        <v>7</v>
      </c>
      <c r="AI70" s="437">
        <v>0</v>
      </c>
      <c r="AJ70" s="437">
        <v>0</v>
      </c>
      <c r="AK70" s="469">
        <v>10</v>
      </c>
      <c r="AL70" s="531" t="s">
        <v>7</v>
      </c>
      <c r="AM70" s="208">
        <f t="shared" si="9"/>
        <v>22</v>
      </c>
      <c r="AN70" s="209">
        <f t="shared" si="10"/>
        <v>9.0909090909090917</v>
      </c>
      <c r="AO70" s="210">
        <f t="shared" si="11"/>
        <v>200</v>
      </c>
      <c r="AP70" s="40"/>
      <c r="AR70" s="118"/>
      <c r="AS70" s="120"/>
      <c r="AT70" s="120"/>
      <c r="AU70" s="120"/>
      <c r="AV70" s="120"/>
      <c r="AW70" s="120"/>
      <c r="AX70" s="118"/>
      <c r="AY70" s="118"/>
      <c r="AZ70" s="118"/>
    </row>
    <row r="71" spans="1:52" ht="16.5" customHeight="1">
      <c r="A71" s="40"/>
      <c r="B71" s="109">
        <v>9</v>
      </c>
      <c r="C71" s="298" t="s">
        <v>111</v>
      </c>
      <c r="D71" s="110" t="s">
        <v>2177</v>
      </c>
      <c r="E71" s="466" t="s">
        <v>7</v>
      </c>
      <c r="F71" s="437">
        <v>20</v>
      </c>
      <c r="G71" s="437">
        <v>5</v>
      </c>
      <c r="H71" s="437">
        <v>20</v>
      </c>
      <c r="I71" s="437">
        <v>5</v>
      </c>
      <c r="J71" s="469">
        <v>0</v>
      </c>
      <c r="K71" s="469" t="s">
        <v>7</v>
      </c>
      <c r="L71" s="469" t="s">
        <v>7</v>
      </c>
      <c r="M71" s="469">
        <v>0</v>
      </c>
      <c r="N71" s="469" t="s">
        <v>7</v>
      </c>
      <c r="O71" s="469" t="s">
        <v>7</v>
      </c>
      <c r="P71" s="469" t="s">
        <v>7</v>
      </c>
      <c r="Q71" s="437">
        <v>15</v>
      </c>
      <c r="R71" s="437">
        <v>0</v>
      </c>
      <c r="S71" s="469" t="s">
        <v>7</v>
      </c>
      <c r="T71" s="469" t="s">
        <v>7</v>
      </c>
      <c r="U71" s="469" t="s">
        <v>7</v>
      </c>
      <c r="V71" s="437">
        <v>0</v>
      </c>
      <c r="W71" s="469" t="s">
        <v>7</v>
      </c>
      <c r="X71" s="469">
        <v>0</v>
      </c>
      <c r="Y71" s="469">
        <v>0</v>
      </c>
      <c r="Z71" s="469" t="s">
        <v>7</v>
      </c>
      <c r="AA71" s="437">
        <v>30</v>
      </c>
      <c r="AB71" s="469" t="s">
        <v>7</v>
      </c>
      <c r="AC71" s="469" t="s">
        <v>7</v>
      </c>
      <c r="AD71" s="437">
        <v>5</v>
      </c>
      <c r="AE71" s="437">
        <v>10</v>
      </c>
      <c r="AF71" s="437">
        <v>0</v>
      </c>
      <c r="AG71" s="469" t="s">
        <v>7</v>
      </c>
      <c r="AH71" s="437">
        <v>0</v>
      </c>
      <c r="AI71" s="437">
        <v>0</v>
      </c>
      <c r="AJ71" s="531" t="s">
        <v>7</v>
      </c>
      <c r="AK71" s="469" t="s">
        <v>7</v>
      </c>
      <c r="AL71" s="531" t="s">
        <v>7</v>
      </c>
      <c r="AM71" s="208">
        <f t="shared" si="9"/>
        <v>17</v>
      </c>
      <c r="AN71" s="209">
        <f t="shared" si="10"/>
        <v>6.4705882352941178</v>
      </c>
      <c r="AO71" s="210">
        <f t="shared" si="11"/>
        <v>110</v>
      </c>
      <c r="AP71" s="40"/>
      <c r="AR71" s="118"/>
      <c r="AS71" s="120"/>
      <c r="AT71" s="120"/>
      <c r="AU71" s="120"/>
      <c r="AV71" s="120"/>
      <c r="AW71" s="120"/>
      <c r="AX71" s="118"/>
      <c r="AY71" s="118"/>
      <c r="AZ71" s="118"/>
    </row>
    <row r="72" spans="1:52" ht="16.5" customHeight="1">
      <c r="A72" s="40"/>
      <c r="B72" s="109">
        <v>10</v>
      </c>
      <c r="C72" s="298" t="s">
        <v>111</v>
      </c>
      <c r="D72" s="110" t="s">
        <v>2180</v>
      </c>
      <c r="E72" s="466" t="s">
        <v>7</v>
      </c>
      <c r="F72" s="469">
        <v>0</v>
      </c>
      <c r="G72" s="469">
        <v>0</v>
      </c>
      <c r="H72" s="437">
        <v>35</v>
      </c>
      <c r="I72" s="469">
        <v>20</v>
      </c>
      <c r="J72" s="469">
        <v>0</v>
      </c>
      <c r="K72" s="469">
        <v>30</v>
      </c>
      <c r="L72" s="469" t="s">
        <v>7</v>
      </c>
      <c r="M72" s="469">
        <v>0</v>
      </c>
      <c r="N72" s="437">
        <v>5</v>
      </c>
      <c r="O72" s="437">
        <v>0</v>
      </c>
      <c r="P72" s="469">
        <v>5</v>
      </c>
      <c r="Q72" s="437">
        <v>0</v>
      </c>
      <c r="R72" s="437">
        <v>35</v>
      </c>
      <c r="S72" s="469" t="s">
        <v>7</v>
      </c>
      <c r="T72" s="437">
        <v>70</v>
      </c>
      <c r="U72" s="438">
        <v>75</v>
      </c>
      <c r="V72" s="469" t="s">
        <v>7</v>
      </c>
      <c r="W72" s="437">
        <v>15</v>
      </c>
      <c r="X72" s="437">
        <v>0</v>
      </c>
      <c r="Y72" s="437">
        <v>15</v>
      </c>
      <c r="Z72" s="437">
        <v>0</v>
      </c>
      <c r="AA72" s="469" t="s">
        <v>7</v>
      </c>
      <c r="AB72" s="437">
        <v>15</v>
      </c>
      <c r="AC72" s="437">
        <v>5</v>
      </c>
      <c r="AD72" s="469" t="s">
        <v>7</v>
      </c>
      <c r="AE72" s="469" t="s">
        <v>7</v>
      </c>
      <c r="AF72" s="437">
        <v>20</v>
      </c>
      <c r="AG72" s="469">
        <v>0</v>
      </c>
      <c r="AH72" s="469" t="s">
        <v>7</v>
      </c>
      <c r="AI72" s="437">
        <v>0</v>
      </c>
      <c r="AJ72" s="232">
        <v>40</v>
      </c>
      <c r="AK72" s="437">
        <v>10</v>
      </c>
      <c r="AL72" s="441">
        <v>15</v>
      </c>
      <c r="AM72" s="208">
        <f t="shared" si="9"/>
        <v>26</v>
      </c>
      <c r="AN72" s="209">
        <f t="shared" si="10"/>
        <v>15.76923076923077</v>
      </c>
      <c r="AO72" s="210">
        <f t="shared" si="11"/>
        <v>410</v>
      </c>
      <c r="AP72" s="40"/>
      <c r="AR72" s="118"/>
      <c r="AS72" s="120"/>
      <c r="AT72" s="120"/>
      <c r="AU72" s="120"/>
      <c r="AV72" s="120"/>
      <c r="AW72" s="120"/>
      <c r="AX72" s="118"/>
      <c r="AY72" s="118"/>
      <c r="AZ72" s="118"/>
    </row>
    <row r="73" spans="1:52" ht="16.5" customHeight="1">
      <c r="A73" s="40"/>
      <c r="B73" s="388" t="s">
        <v>1979</v>
      </c>
      <c r="C73" s="386" t="s">
        <v>111</v>
      </c>
      <c r="D73" s="384" t="s">
        <v>2065</v>
      </c>
      <c r="E73" s="466" t="s">
        <v>7</v>
      </c>
      <c r="F73" s="469" t="s">
        <v>7</v>
      </c>
      <c r="G73" s="469" t="s">
        <v>7</v>
      </c>
      <c r="H73" s="469" t="s">
        <v>7</v>
      </c>
      <c r="I73" s="469" t="s">
        <v>7</v>
      </c>
      <c r="J73" s="469" t="s">
        <v>7</v>
      </c>
      <c r="K73" s="469" t="s">
        <v>7</v>
      </c>
      <c r="L73" s="469" t="s">
        <v>7</v>
      </c>
      <c r="M73" s="469" t="s">
        <v>7</v>
      </c>
      <c r="N73" s="469" t="s">
        <v>7</v>
      </c>
      <c r="O73" s="469" t="s">
        <v>7</v>
      </c>
      <c r="P73" s="469" t="s">
        <v>7</v>
      </c>
      <c r="Q73" s="469" t="s">
        <v>7</v>
      </c>
      <c r="R73" s="469" t="s">
        <v>7</v>
      </c>
      <c r="S73" s="231">
        <v>0</v>
      </c>
      <c r="T73" s="469" t="s">
        <v>7</v>
      </c>
      <c r="U73" s="469" t="s">
        <v>7</v>
      </c>
      <c r="V73" s="469" t="s">
        <v>7</v>
      </c>
      <c r="W73" s="469" t="s">
        <v>7</v>
      </c>
      <c r="X73" s="232">
        <v>0</v>
      </c>
      <c r="Y73" s="469" t="s">
        <v>7</v>
      </c>
      <c r="Z73" s="469" t="s">
        <v>7</v>
      </c>
      <c r="AA73" s="469" t="s">
        <v>7</v>
      </c>
      <c r="AB73" s="230">
        <v>40</v>
      </c>
      <c r="AC73" s="469" t="s">
        <v>7</v>
      </c>
      <c r="AD73" s="469" t="s">
        <v>7</v>
      </c>
      <c r="AE73" s="469" t="s">
        <v>7</v>
      </c>
      <c r="AF73" s="469" t="s">
        <v>7</v>
      </c>
      <c r="AG73" s="469">
        <v>0</v>
      </c>
      <c r="AH73" s="469" t="s">
        <v>7</v>
      </c>
      <c r="AI73" s="469" t="s">
        <v>7</v>
      </c>
      <c r="AJ73" s="531" t="s">
        <v>7</v>
      </c>
      <c r="AK73" s="531" t="s">
        <v>7</v>
      </c>
      <c r="AL73" s="531" t="s">
        <v>7</v>
      </c>
      <c r="AM73" s="208">
        <f t="shared" si="9"/>
        <v>4</v>
      </c>
      <c r="AN73" s="209">
        <f t="shared" si="10"/>
        <v>10</v>
      </c>
      <c r="AO73" s="210">
        <f t="shared" si="11"/>
        <v>40</v>
      </c>
      <c r="AP73" s="40"/>
      <c r="AR73" s="118"/>
      <c r="AS73" s="120"/>
      <c r="AT73" s="120"/>
      <c r="AU73" s="120"/>
      <c r="AV73" s="120"/>
      <c r="AW73" s="120"/>
      <c r="AX73" s="118"/>
      <c r="AY73" s="118"/>
      <c r="AZ73" s="118"/>
    </row>
    <row r="74" spans="1:52" ht="16.5" customHeight="1" thickBot="1">
      <c r="A74" s="40"/>
      <c r="B74" s="389" t="s">
        <v>1979</v>
      </c>
      <c r="C74" s="387" t="s">
        <v>113</v>
      </c>
      <c r="D74" s="385" t="s">
        <v>2102</v>
      </c>
      <c r="E74" s="466" t="s">
        <v>7</v>
      </c>
      <c r="F74" s="469" t="s">
        <v>7</v>
      </c>
      <c r="G74" s="469" t="s">
        <v>7</v>
      </c>
      <c r="H74" s="469" t="s">
        <v>7</v>
      </c>
      <c r="I74" s="469" t="s">
        <v>7</v>
      </c>
      <c r="J74" s="469" t="s">
        <v>7</v>
      </c>
      <c r="K74" s="469" t="s">
        <v>7</v>
      </c>
      <c r="L74" s="469" t="s">
        <v>7</v>
      </c>
      <c r="M74" s="469" t="s">
        <v>7</v>
      </c>
      <c r="N74" s="469" t="s">
        <v>7</v>
      </c>
      <c r="O74" s="469" t="s">
        <v>7</v>
      </c>
      <c r="P74" s="469" t="s">
        <v>7</v>
      </c>
      <c r="Q74" s="469" t="s">
        <v>7</v>
      </c>
      <c r="R74" s="469" t="s">
        <v>7</v>
      </c>
      <c r="S74" s="469">
        <v>0</v>
      </c>
      <c r="T74" s="469" t="s">
        <v>7</v>
      </c>
      <c r="U74" s="469" t="s">
        <v>7</v>
      </c>
      <c r="V74" s="469" t="s">
        <v>7</v>
      </c>
      <c r="W74" s="469" t="s">
        <v>7</v>
      </c>
      <c r="X74" s="469">
        <v>0</v>
      </c>
      <c r="Y74" s="469" t="s">
        <v>7</v>
      </c>
      <c r="Z74" s="469" t="s">
        <v>7</v>
      </c>
      <c r="AA74" s="469" t="s">
        <v>7</v>
      </c>
      <c r="AB74" s="469" t="s">
        <v>7</v>
      </c>
      <c r="AC74" s="469" t="s">
        <v>7</v>
      </c>
      <c r="AD74" s="469" t="s">
        <v>7</v>
      </c>
      <c r="AE74" s="469" t="s">
        <v>7</v>
      </c>
      <c r="AF74" s="469" t="s">
        <v>7</v>
      </c>
      <c r="AG74" s="469">
        <v>15</v>
      </c>
      <c r="AH74" s="469" t="s">
        <v>7</v>
      </c>
      <c r="AI74" s="469" t="s">
        <v>7</v>
      </c>
      <c r="AJ74" s="531" t="s">
        <v>7</v>
      </c>
      <c r="AK74" s="531" t="s">
        <v>7</v>
      </c>
      <c r="AL74" s="531" t="s">
        <v>7</v>
      </c>
      <c r="AM74" s="211">
        <f t="shared" si="9"/>
        <v>3</v>
      </c>
      <c r="AN74" s="212">
        <f t="shared" si="10"/>
        <v>5</v>
      </c>
      <c r="AO74" s="210">
        <f t="shared" si="11"/>
        <v>15</v>
      </c>
      <c r="AP74" s="40"/>
      <c r="AR74" s="118"/>
      <c r="AS74" s="120"/>
      <c r="AT74" s="120"/>
      <c r="AU74" s="120"/>
      <c r="AV74" s="120"/>
      <c r="AW74" s="120"/>
      <c r="AX74" s="118"/>
      <c r="AY74" s="118"/>
      <c r="AZ74" s="118"/>
    </row>
    <row r="75" spans="1:52" ht="19.5" customHeight="1">
      <c r="A75" s="40"/>
      <c r="B75" s="588" t="s">
        <v>24</v>
      </c>
      <c r="C75" s="589"/>
      <c r="D75" s="590"/>
      <c r="E75" s="213">
        <v>0</v>
      </c>
      <c r="F75" s="214">
        <v>0</v>
      </c>
      <c r="G75" s="214">
        <v>0</v>
      </c>
      <c r="H75" s="214">
        <v>0</v>
      </c>
      <c r="I75" s="214">
        <v>0</v>
      </c>
      <c r="J75" s="214">
        <v>0</v>
      </c>
      <c r="K75" s="214">
        <v>0</v>
      </c>
      <c r="L75" s="214">
        <v>0</v>
      </c>
      <c r="M75" s="214">
        <v>0</v>
      </c>
      <c r="N75" s="214">
        <v>1</v>
      </c>
      <c r="O75" s="214">
        <v>0</v>
      </c>
      <c r="P75" s="214">
        <v>0</v>
      </c>
      <c r="Q75" s="214">
        <v>0</v>
      </c>
      <c r="R75" s="214">
        <v>0</v>
      </c>
      <c r="S75" s="214">
        <v>0</v>
      </c>
      <c r="T75" s="214">
        <v>1</v>
      </c>
      <c r="U75" s="214">
        <v>1</v>
      </c>
      <c r="V75" s="214">
        <v>0</v>
      </c>
      <c r="W75" s="214">
        <v>0</v>
      </c>
      <c r="X75" s="214">
        <v>0</v>
      </c>
      <c r="Y75" s="214">
        <v>0</v>
      </c>
      <c r="Z75" s="214">
        <v>0</v>
      </c>
      <c r="AA75" s="214">
        <v>0</v>
      </c>
      <c r="AB75" s="214">
        <v>0</v>
      </c>
      <c r="AC75" s="214">
        <v>0</v>
      </c>
      <c r="AD75" s="214">
        <v>0</v>
      </c>
      <c r="AE75" s="214">
        <v>0</v>
      </c>
      <c r="AF75" s="214">
        <v>0</v>
      </c>
      <c r="AG75" s="214">
        <v>0</v>
      </c>
      <c r="AH75" s="214">
        <v>0</v>
      </c>
      <c r="AI75" s="214">
        <v>0</v>
      </c>
      <c r="AJ75" s="215">
        <v>0</v>
      </c>
      <c r="AK75" s="215">
        <v>0</v>
      </c>
      <c r="AL75" s="215">
        <v>1</v>
      </c>
      <c r="AM75" s="216" t="s">
        <v>7</v>
      </c>
      <c r="AN75" s="217">
        <f t="shared" si="10"/>
        <v>0.11764705882352941</v>
      </c>
      <c r="AO75" s="218">
        <f t="shared" si="11"/>
        <v>4</v>
      </c>
      <c r="AP75" s="40"/>
      <c r="AR75" s="118"/>
      <c r="AS75" s="120"/>
      <c r="AT75" s="120"/>
      <c r="AU75" s="120"/>
      <c r="AV75" s="120"/>
      <c r="AW75" s="120"/>
      <c r="AX75" s="118"/>
      <c r="AY75" s="118"/>
      <c r="AZ75" s="118"/>
    </row>
    <row r="76" spans="1:52" ht="19.5" customHeight="1">
      <c r="A76" s="40"/>
      <c r="B76" s="598" t="s">
        <v>25</v>
      </c>
      <c r="C76" s="599"/>
      <c r="D76" s="600"/>
      <c r="E76" s="219">
        <v>0</v>
      </c>
      <c r="F76" s="219">
        <v>3</v>
      </c>
      <c r="G76" s="219">
        <v>1</v>
      </c>
      <c r="H76" s="219">
        <v>3</v>
      </c>
      <c r="I76" s="219">
        <v>2</v>
      </c>
      <c r="J76" s="219">
        <v>2</v>
      </c>
      <c r="K76" s="219">
        <v>2</v>
      </c>
      <c r="L76" s="219">
        <v>0</v>
      </c>
      <c r="M76" s="219">
        <v>1</v>
      </c>
      <c r="N76" s="219">
        <v>1</v>
      </c>
      <c r="O76" s="219">
        <v>0</v>
      </c>
      <c r="P76" s="219">
        <v>1</v>
      </c>
      <c r="Q76" s="219">
        <v>1</v>
      </c>
      <c r="R76" s="219">
        <v>1</v>
      </c>
      <c r="S76" s="219">
        <v>0</v>
      </c>
      <c r="T76" s="219">
        <v>4</v>
      </c>
      <c r="U76" s="219">
        <v>1</v>
      </c>
      <c r="V76" s="219">
        <v>1</v>
      </c>
      <c r="W76" s="219">
        <v>2</v>
      </c>
      <c r="X76" s="219">
        <v>1</v>
      </c>
      <c r="Y76" s="219">
        <v>1</v>
      </c>
      <c r="Z76" s="219">
        <v>1</v>
      </c>
      <c r="AA76" s="219">
        <v>1</v>
      </c>
      <c r="AB76" s="219">
        <v>1</v>
      </c>
      <c r="AC76" s="219">
        <v>3</v>
      </c>
      <c r="AD76" s="219">
        <v>0</v>
      </c>
      <c r="AE76" s="219">
        <v>0</v>
      </c>
      <c r="AF76" s="219">
        <v>0</v>
      </c>
      <c r="AG76" s="219">
        <v>1</v>
      </c>
      <c r="AH76" s="219">
        <v>0</v>
      </c>
      <c r="AI76" s="219">
        <v>0</v>
      </c>
      <c r="AJ76" s="220">
        <v>2</v>
      </c>
      <c r="AK76" s="220">
        <v>1</v>
      </c>
      <c r="AL76" s="220">
        <v>3</v>
      </c>
      <c r="AM76" s="220" t="s">
        <v>7</v>
      </c>
      <c r="AN76" s="221">
        <f t="shared" si="10"/>
        <v>1.2058823529411764</v>
      </c>
      <c r="AO76" s="222">
        <f t="shared" si="11"/>
        <v>41</v>
      </c>
      <c r="AP76" s="40"/>
      <c r="AR76" s="118"/>
      <c r="AS76" s="118">
        <f>AS77/16</f>
        <v>53.125</v>
      </c>
      <c r="AT76" s="118">
        <f>AT77/7</f>
        <v>90.714285714285708</v>
      </c>
      <c r="AU76" s="118">
        <f>AU77/7</f>
        <v>94.285714285714292</v>
      </c>
      <c r="AV76" s="118">
        <f>AV77/5</f>
        <v>275</v>
      </c>
      <c r="AW76" s="120"/>
      <c r="AX76" s="118"/>
      <c r="AY76" s="118"/>
      <c r="AZ76" s="118"/>
    </row>
    <row r="77" spans="1:52" ht="21" customHeight="1" thickBot="1">
      <c r="A77" s="40"/>
      <c r="B77" s="595" t="s">
        <v>26</v>
      </c>
      <c r="C77" s="596"/>
      <c r="D77" s="597"/>
      <c r="E77" s="53">
        <v>40</v>
      </c>
      <c r="F77" s="53">
        <v>80</v>
      </c>
      <c r="G77" s="53">
        <v>50</v>
      </c>
      <c r="H77" s="53">
        <v>75</v>
      </c>
      <c r="I77" s="53">
        <v>90</v>
      </c>
      <c r="J77" s="53">
        <v>50</v>
      </c>
      <c r="K77" s="53">
        <v>120</v>
      </c>
      <c r="L77" s="53">
        <v>0</v>
      </c>
      <c r="M77" s="53">
        <v>30</v>
      </c>
      <c r="N77" s="53">
        <v>155</v>
      </c>
      <c r="O77" s="53">
        <v>60</v>
      </c>
      <c r="P77" s="53">
        <v>80</v>
      </c>
      <c r="Q77" s="53">
        <v>60</v>
      </c>
      <c r="R77" s="53">
        <v>40</v>
      </c>
      <c r="S77" s="53">
        <v>50</v>
      </c>
      <c r="T77" s="53">
        <v>260</v>
      </c>
      <c r="U77" s="53">
        <v>75</v>
      </c>
      <c r="V77" s="53">
        <v>25</v>
      </c>
      <c r="W77" s="53">
        <v>185</v>
      </c>
      <c r="X77" s="53">
        <v>110</v>
      </c>
      <c r="Y77" s="53">
        <v>65</v>
      </c>
      <c r="Z77" s="53">
        <v>105</v>
      </c>
      <c r="AA77" s="53">
        <v>35</v>
      </c>
      <c r="AB77" s="53">
        <v>130</v>
      </c>
      <c r="AC77" s="53">
        <v>185</v>
      </c>
      <c r="AD77" s="53">
        <v>5</v>
      </c>
      <c r="AE77" s="53">
        <v>10</v>
      </c>
      <c r="AF77" s="53">
        <v>55</v>
      </c>
      <c r="AG77" s="53">
        <v>110</v>
      </c>
      <c r="AH77" s="53">
        <v>15</v>
      </c>
      <c r="AI77" s="53">
        <v>0</v>
      </c>
      <c r="AJ77" s="54">
        <v>145</v>
      </c>
      <c r="AK77" s="54">
        <v>140</v>
      </c>
      <c r="AL77" s="53">
        <v>445</v>
      </c>
      <c r="AM77" s="55" t="s">
        <v>7</v>
      </c>
      <c r="AN77" s="223">
        <f t="shared" si="10"/>
        <v>90.588235294117652</v>
      </c>
      <c r="AO77" s="56">
        <f t="shared" si="11"/>
        <v>3080</v>
      </c>
      <c r="AP77" s="40"/>
      <c r="AR77" s="118"/>
      <c r="AS77" s="120">
        <f>SUM(F20:H20,J20,L20,M20,P20,Q20,R20,U20,V20,Y20,AD20,AE20,AH20,AI20)</f>
        <v>850</v>
      </c>
      <c r="AT77" s="120">
        <f>SUM(E20,I20,N20,T20,AA20,AC20,AF20)</f>
        <v>635</v>
      </c>
      <c r="AU77" s="120">
        <f>SUM(K20,O20,W20,Z20,AJ20,AK20,AL20)</f>
        <v>660</v>
      </c>
      <c r="AV77" s="120">
        <f>SUM(S20,X20,AB20,AG20)</f>
        <v>1375</v>
      </c>
      <c r="AW77" s="120"/>
      <c r="AX77" s="118"/>
      <c r="AY77" s="118"/>
      <c r="AZ77" s="118"/>
    </row>
    <row r="78" spans="1:52" ht="12.75" customHeight="1" thickBot="1">
      <c r="A78" s="40"/>
      <c r="B78" s="68"/>
      <c r="C78" s="294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70"/>
      <c r="AO78" s="71"/>
      <c r="AP78" s="40"/>
      <c r="AR78" s="118"/>
      <c r="AS78" s="120"/>
      <c r="AT78" s="120"/>
      <c r="AU78" s="120"/>
      <c r="AV78" s="120"/>
      <c r="AW78" s="120"/>
      <c r="AX78" s="118"/>
      <c r="AY78" s="118"/>
      <c r="AZ78" s="118"/>
    </row>
    <row r="79" spans="1:52" ht="27" thickBot="1">
      <c r="A79" s="40"/>
      <c r="B79" s="735" t="s">
        <v>104</v>
      </c>
      <c r="C79" s="736"/>
      <c r="D79" s="736"/>
      <c r="E79" s="585"/>
      <c r="F79" s="585"/>
      <c r="G79" s="585"/>
      <c r="H79" s="585"/>
      <c r="I79" s="585"/>
      <c r="J79" s="585"/>
      <c r="K79" s="585"/>
      <c r="L79" s="585"/>
      <c r="M79" s="585"/>
      <c r="N79" s="585"/>
      <c r="O79" s="585"/>
      <c r="P79" s="585"/>
      <c r="Q79" s="585"/>
      <c r="R79" s="585"/>
      <c r="S79" s="585"/>
      <c r="T79" s="585"/>
      <c r="U79" s="585"/>
      <c r="V79" s="585"/>
      <c r="W79" s="585"/>
      <c r="X79" s="585"/>
      <c r="Y79" s="585"/>
      <c r="Z79" s="585"/>
      <c r="AA79" s="585"/>
      <c r="AB79" s="585"/>
      <c r="AC79" s="585"/>
      <c r="AD79" s="585"/>
      <c r="AE79" s="585"/>
      <c r="AF79" s="585"/>
      <c r="AG79" s="585"/>
      <c r="AH79" s="585"/>
      <c r="AI79" s="226">
        <v>0</v>
      </c>
      <c r="AJ79" s="227">
        <v>1</v>
      </c>
      <c r="AK79" s="228">
        <v>0</v>
      </c>
      <c r="AL79" s="233">
        <v>10</v>
      </c>
      <c r="AM79" s="664" t="s">
        <v>2016</v>
      </c>
      <c r="AN79" s="665"/>
      <c r="AO79" s="666"/>
      <c r="AP79" s="40"/>
      <c r="AR79" s="121"/>
      <c r="AS79" s="121"/>
      <c r="AT79" s="121"/>
      <c r="AU79" s="121"/>
      <c r="AV79" s="121"/>
      <c r="AW79" s="120"/>
      <c r="AX79" s="118"/>
      <c r="AY79" s="118"/>
      <c r="AZ79" s="118"/>
    </row>
    <row r="80" spans="1:52" ht="13.5" customHeight="1">
      <c r="A80" s="40"/>
      <c r="B80" s="713" t="s">
        <v>16</v>
      </c>
      <c r="C80" s="714"/>
      <c r="D80" s="715"/>
      <c r="E80" s="582">
        <v>1</v>
      </c>
      <c r="F80" s="582">
        <v>2</v>
      </c>
      <c r="G80" s="582">
        <v>3</v>
      </c>
      <c r="H80" s="582">
        <v>4</v>
      </c>
      <c r="I80" s="582">
        <v>5</v>
      </c>
      <c r="J80" s="582">
        <v>6</v>
      </c>
      <c r="K80" s="582">
        <v>7</v>
      </c>
      <c r="L80" s="582">
        <v>8</v>
      </c>
      <c r="M80" s="582">
        <v>9</v>
      </c>
      <c r="N80" s="582">
        <v>10</v>
      </c>
      <c r="O80" s="582">
        <v>11</v>
      </c>
      <c r="P80" s="582">
        <v>12</v>
      </c>
      <c r="Q80" s="582">
        <v>13</v>
      </c>
      <c r="R80" s="582">
        <v>14</v>
      </c>
      <c r="S80" s="582">
        <v>15</v>
      </c>
      <c r="T80" s="582">
        <v>16</v>
      </c>
      <c r="U80" s="582">
        <v>17</v>
      </c>
      <c r="V80" s="583">
        <v>18</v>
      </c>
      <c r="W80" s="583">
        <v>19</v>
      </c>
      <c r="X80" s="583">
        <v>20</v>
      </c>
      <c r="Y80" s="583">
        <v>21</v>
      </c>
      <c r="Z80" s="583">
        <v>22</v>
      </c>
      <c r="AA80" s="583">
        <v>23</v>
      </c>
      <c r="AB80" s="583">
        <v>24</v>
      </c>
      <c r="AC80" s="583">
        <v>25</v>
      </c>
      <c r="AD80" s="583">
        <v>26</v>
      </c>
      <c r="AE80" s="583">
        <v>27</v>
      </c>
      <c r="AF80" s="583">
        <v>28</v>
      </c>
      <c r="AG80" s="583">
        <v>29</v>
      </c>
      <c r="AH80" s="583">
        <v>30</v>
      </c>
      <c r="AI80" s="583">
        <v>31</v>
      </c>
      <c r="AJ80" s="583">
        <v>32</v>
      </c>
      <c r="AK80" s="583">
        <v>33</v>
      </c>
      <c r="AL80" s="583">
        <v>34</v>
      </c>
      <c r="AM80" s="690" t="s">
        <v>17</v>
      </c>
      <c r="AN80" s="686" t="s">
        <v>18</v>
      </c>
      <c r="AO80" s="688" t="s">
        <v>19</v>
      </c>
      <c r="AP80" s="40"/>
      <c r="AR80" s="118"/>
      <c r="AS80" s="120"/>
      <c r="AT80" s="120"/>
      <c r="AU80" s="120"/>
      <c r="AV80" s="120"/>
      <c r="AW80" s="120"/>
      <c r="AX80" s="118"/>
      <c r="AY80" s="118"/>
      <c r="AZ80" s="118"/>
    </row>
    <row r="81" spans="1:52" ht="13.5" customHeight="1" thickBot="1">
      <c r="A81" s="40"/>
      <c r="B81" s="716"/>
      <c r="C81" s="717"/>
      <c r="D81" s="718"/>
      <c r="E81" s="584" t="s">
        <v>21</v>
      </c>
      <c r="F81" s="584" t="s">
        <v>20</v>
      </c>
      <c r="G81" s="584" t="s">
        <v>20</v>
      </c>
      <c r="H81" s="584" t="s">
        <v>20</v>
      </c>
      <c r="I81" s="584" t="s">
        <v>21</v>
      </c>
      <c r="J81" s="584" t="s">
        <v>20</v>
      </c>
      <c r="K81" s="584" t="s">
        <v>22</v>
      </c>
      <c r="L81" s="584" t="s">
        <v>20</v>
      </c>
      <c r="M81" s="584" t="s">
        <v>20</v>
      </c>
      <c r="N81" s="584" t="s">
        <v>21</v>
      </c>
      <c r="O81" s="584" t="s">
        <v>22</v>
      </c>
      <c r="P81" s="584" t="s">
        <v>20</v>
      </c>
      <c r="Q81" s="584" t="s">
        <v>20</v>
      </c>
      <c r="R81" s="584" t="s">
        <v>20</v>
      </c>
      <c r="S81" s="584" t="s">
        <v>23</v>
      </c>
      <c r="T81" s="584" t="s">
        <v>21</v>
      </c>
      <c r="U81" s="584" t="s">
        <v>20</v>
      </c>
      <c r="V81" s="584" t="s">
        <v>20</v>
      </c>
      <c r="W81" s="584" t="s">
        <v>22</v>
      </c>
      <c r="X81" s="584" t="s">
        <v>23</v>
      </c>
      <c r="Y81" s="584" t="s">
        <v>20</v>
      </c>
      <c r="Z81" s="584" t="s">
        <v>22</v>
      </c>
      <c r="AA81" s="584" t="s">
        <v>21</v>
      </c>
      <c r="AB81" s="584" t="s">
        <v>23</v>
      </c>
      <c r="AC81" s="584" t="s">
        <v>21</v>
      </c>
      <c r="AD81" s="584" t="s">
        <v>20</v>
      </c>
      <c r="AE81" s="584" t="s">
        <v>20</v>
      </c>
      <c r="AF81" s="584" t="s">
        <v>21</v>
      </c>
      <c r="AG81" s="584" t="s">
        <v>23</v>
      </c>
      <c r="AH81" s="584" t="s">
        <v>20</v>
      </c>
      <c r="AI81" s="584" t="s">
        <v>20</v>
      </c>
      <c r="AJ81" s="584" t="s">
        <v>22</v>
      </c>
      <c r="AK81" s="584" t="s">
        <v>22</v>
      </c>
      <c r="AL81" s="584" t="s">
        <v>22</v>
      </c>
      <c r="AM81" s="691"/>
      <c r="AN81" s="687"/>
      <c r="AO81" s="689"/>
      <c r="AP81" s="40"/>
      <c r="AR81" s="118"/>
      <c r="AS81" s="120"/>
      <c r="AT81" s="120"/>
      <c r="AU81" s="120"/>
      <c r="AV81" s="120"/>
      <c r="AW81" s="120"/>
      <c r="AX81" s="118"/>
      <c r="AY81" s="118"/>
      <c r="AZ81" s="118"/>
    </row>
    <row r="82" spans="1:52" ht="16.5" customHeight="1">
      <c r="A82" s="40"/>
      <c r="B82" s="570">
        <v>1</v>
      </c>
      <c r="C82" s="571" t="s">
        <v>111</v>
      </c>
      <c r="D82" s="572" t="s">
        <v>2072</v>
      </c>
      <c r="E82" s="436">
        <v>5</v>
      </c>
      <c r="F82" s="469" t="s">
        <v>7</v>
      </c>
      <c r="G82" s="469" t="s">
        <v>7</v>
      </c>
      <c r="H82" s="469" t="s">
        <v>7</v>
      </c>
      <c r="I82" s="469" t="s">
        <v>7</v>
      </c>
      <c r="J82" s="469" t="s">
        <v>7</v>
      </c>
      <c r="K82" s="469" t="s">
        <v>7</v>
      </c>
      <c r="L82" s="469" t="s">
        <v>7</v>
      </c>
      <c r="M82" s="469" t="s">
        <v>7</v>
      </c>
      <c r="N82" s="437">
        <v>5</v>
      </c>
      <c r="O82" s="437">
        <v>0</v>
      </c>
      <c r="P82" s="437">
        <v>15</v>
      </c>
      <c r="Q82" s="469" t="s">
        <v>7</v>
      </c>
      <c r="R82" s="469" t="s">
        <v>7</v>
      </c>
      <c r="S82" s="231">
        <v>60</v>
      </c>
      <c r="T82" s="437">
        <v>10</v>
      </c>
      <c r="U82" s="469" t="s">
        <v>7</v>
      </c>
      <c r="V82" s="476" t="s">
        <v>7</v>
      </c>
      <c r="W82" s="208">
        <v>30</v>
      </c>
      <c r="X82" s="437">
        <v>15</v>
      </c>
      <c r="Y82" s="476" t="s">
        <v>7</v>
      </c>
      <c r="Z82" s="208">
        <v>15</v>
      </c>
      <c r="AA82" s="476" t="s">
        <v>7</v>
      </c>
      <c r="AB82" s="437">
        <v>40</v>
      </c>
      <c r="AC82" s="208">
        <v>0</v>
      </c>
      <c r="AD82" s="476" t="s">
        <v>7</v>
      </c>
      <c r="AE82" s="476" t="s">
        <v>7</v>
      </c>
      <c r="AF82" s="437">
        <v>30</v>
      </c>
      <c r="AG82" s="208">
        <v>60</v>
      </c>
      <c r="AH82" s="476" t="s">
        <v>7</v>
      </c>
      <c r="AI82" s="476" t="s">
        <v>7</v>
      </c>
      <c r="AJ82" s="437">
        <v>15</v>
      </c>
      <c r="AK82" s="440">
        <v>10</v>
      </c>
      <c r="AL82" s="533" t="s">
        <v>7</v>
      </c>
      <c r="AM82" s="205">
        <f t="shared" ref="AM82:AM93" si="12">COUNT(E82:AL82)</f>
        <v>15</v>
      </c>
      <c r="AN82" s="206">
        <f t="shared" ref="AN82:AN96" si="13">IF(ISERROR(AVERAGE(E82:AL82)),0,(AVERAGE(E82:AL82)))</f>
        <v>20.666666666666668</v>
      </c>
      <c r="AO82" s="207">
        <f t="shared" ref="AO82:AO96" si="14">SUM(E82:AL82)</f>
        <v>310</v>
      </c>
      <c r="AP82" s="40"/>
      <c r="AR82" s="118"/>
      <c r="AS82" s="120"/>
      <c r="AT82" s="120"/>
      <c r="AU82" s="120"/>
      <c r="AV82" s="120"/>
      <c r="AW82" s="120"/>
      <c r="AX82" s="118"/>
      <c r="AY82" s="118"/>
      <c r="AZ82" s="118"/>
    </row>
    <row r="83" spans="1:52" ht="16.5" customHeight="1">
      <c r="A83" s="40"/>
      <c r="B83" s="573">
        <v>2</v>
      </c>
      <c r="C83" s="574" t="s">
        <v>111</v>
      </c>
      <c r="D83" s="575" t="s">
        <v>2073</v>
      </c>
      <c r="E83" s="436">
        <v>30</v>
      </c>
      <c r="F83" s="469" t="s">
        <v>7</v>
      </c>
      <c r="G83" s="437">
        <v>5</v>
      </c>
      <c r="H83" s="469" t="s">
        <v>7</v>
      </c>
      <c r="I83" s="437">
        <v>10</v>
      </c>
      <c r="J83" s="437">
        <v>5</v>
      </c>
      <c r="K83" s="437">
        <v>15</v>
      </c>
      <c r="L83" s="469" t="s">
        <v>7</v>
      </c>
      <c r="M83" s="469" t="s">
        <v>7</v>
      </c>
      <c r="N83" s="437">
        <v>5</v>
      </c>
      <c r="O83" s="437">
        <v>0</v>
      </c>
      <c r="P83" s="437">
        <v>0</v>
      </c>
      <c r="Q83" s="469" t="s">
        <v>7</v>
      </c>
      <c r="R83" s="437">
        <v>0</v>
      </c>
      <c r="S83" s="437">
        <v>15</v>
      </c>
      <c r="T83" s="437">
        <v>20</v>
      </c>
      <c r="U83" s="469" t="s">
        <v>7</v>
      </c>
      <c r="V83" s="437">
        <v>25</v>
      </c>
      <c r="W83" s="437">
        <v>10</v>
      </c>
      <c r="X83" s="231">
        <v>20</v>
      </c>
      <c r="Y83" s="469" t="s">
        <v>7</v>
      </c>
      <c r="Z83" s="437">
        <v>30</v>
      </c>
      <c r="AA83" s="437">
        <v>70</v>
      </c>
      <c r="AB83" s="437">
        <v>60</v>
      </c>
      <c r="AC83" s="437">
        <v>10</v>
      </c>
      <c r="AD83" s="469" t="s">
        <v>7</v>
      </c>
      <c r="AE83" s="469" t="s">
        <v>7</v>
      </c>
      <c r="AF83" s="437">
        <v>5</v>
      </c>
      <c r="AG83" s="437">
        <v>15</v>
      </c>
      <c r="AH83" s="437">
        <v>0</v>
      </c>
      <c r="AI83" s="469" t="s">
        <v>7</v>
      </c>
      <c r="AJ83" s="437">
        <v>10</v>
      </c>
      <c r="AK83" s="441">
        <v>60</v>
      </c>
      <c r="AL83" s="441">
        <v>40</v>
      </c>
      <c r="AM83" s="208">
        <f t="shared" si="12"/>
        <v>24</v>
      </c>
      <c r="AN83" s="209">
        <f t="shared" si="13"/>
        <v>19.166666666666668</v>
      </c>
      <c r="AO83" s="210">
        <f t="shared" si="14"/>
        <v>460</v>
      </c>
      <c r="AP83" s="40"/>
      <c r="AR83" s="118"/>
      <c r="AS83" s="120"/>
      <c r="AT83" s="120"/>
      <c r="AU83" s="120"/>
      <c r="AV83" s="120"/>
      <c r="AW83" s="120"/>
      <c r="AX83" s="118"/>
      <c r="AY83" s="118"/>
      <c r="AZ83" s="118"/>
    </row>
    <row r="84" spans="1:52" ht="16.5" customHeight="1">
      <c r="A84" s="40"/>
      <c r="B84" s="573">
        <v>3</v>
      </c>
      <c r="C84" s="574" t="s">
        <v>117</v>
      </c>
      <c r="D84" s="575" t="s">
        <v>2193</v>
      </c>
      <c r="E84" s="436">
        <v>5</v>
      </c>
      <c r="F84" s="437">
        <v>0</v>
      </c>
      <c r="G84" s="469" t="s">
        <v>7</v>
      </c>
      <c r="H84" s="469" t="s">
        <v>7</v>
      </c>
      <c r="I84" s="437">
        <v>10</v>
      </c>
      <c r="J84" s="469">
        <v>0</v>
      </c>
      <c r="K84" s="469">
        <v>0</v>
      </c>
      <c r="L84" s="469" t="s">
        <v>7</v>
      </c>
      <c r="M84" s="437">
        <v>0</v>
      </c>
      <c r="N84" s="469">
        <v>30</v>
      </c>
      <c r="O84" s="469">
        <v>0</v>
      </c>
      <c r="P84" s="437">
        <v>10</v>
      </c>
      <c r="Q84" s="469" t="s">
        <v>7</v>
      </c>
      <c r="R84" s="469" t="s">
        <v>7</v>
      </c>
      <c r="S84" s="437">
        <v>20</v>
      </c>
      <c r="T84" s="437">
        <v>5</v>
      </c>
      <c r="U84" s="469" t="s">
        <v>7</v>
      </c>
      <c r="V84" s="437">
        <v>0</v>
      </c>
      <c r="W84" s="469">
        <v>10</v>
      </c>
      <c r="X84" s="469">
        <v>0</v>
      </c>
      <c r="Y84" s="469" t="s">
        <v>7</v>
      </c>
      <c r="Z84" s="469">
        <v>0</v>
      </c>
      <c r="AA84" s="437">
        <v>30</v>
      </c>
      <c r="AB84" s="469">
        <v>0</v>
      </c>
      <c r="AC84" s="469">
        <v>20</v>
      </c>
      <c r="AD84" s="437">
        <v>0</v>
      </c>
      <c r="AE84" s="469" t="s">
        <v>7</v>
      </c>
      <c r="AF84" s="437">
        <v>0</v>
      </c>
      <c r="AG84" s="469">
        <v>0</v>
      </c>
      <c r="AH84" s="437">
        <v>0</v>
      </c>
      <c r="AI84" s="437">
        <v>0</v>
      </c>
      <c r="AJ84" s="531" t="s">
        <v>7</v>
      </c>
      <c r="AK84" s="531" t="s">
        <v>7</v>
      </c>
      <c r="AL84" s="531" t="s">
        <v>7</v>
      </c>
      <c r="AM84" s="208">
        <f t="shared" si="12"/>
        <v>23</v>
      </c>
      <c r="AN84" s="209">
        <f t="shared" si="13"/>
        <v>6.0869565217391308</v>
      </c>
      <c r="AO84" s="210">
        <f t="shared" si="14"/>
        <v>140</v>
      </c>
      <c r="AP84" s="40"/>
      <c r="AR84" s="118"/>
      <c r="AS84" s="120"/>
      <c r="AT84" s="120"/>
      <c r="AU84" s="120"/>
      <c r="AV84" s="120"/>
      <c r="AW84" s="120"/>
      <c r="AX84" s="118"/>
      <c r="AY84" s="118"/>
      <c r="AZ84" s="118"/>
    </row>
    <row r="85" spans="1:52" ht="16.5" customHeight="1">
      <c r="A85" s="40"/>
      <c r="B85" s="573">
        <v>4</v>
      </c>
      <c r="C85" s="574" t="s">
        <v>111</v>
      </c>
      <c r="D85" s="575" t="s">
        <v>2125</v>
      </c>
      <c r="E85" s="436">
        <v>5</v>
      </c>
      <c r="F85" s="437">
        <v>0</v>
      </c>
      <c r="G85" s="437">
        <v>0</v>
      </c>
      <c r="H85" s="469" t="s">
        <v>7</v>
      </c>
      <c r="I85" s="437">
        <v>0</v>
      </c>
      <c r="J85" s="437">
        <v>5</v>
      </c>
      <c r="K85" s="437">
        <v>30</v>
      </c>
      <c r="L85" s="469" t="s">
        <v>7</v>
      </c>
      <c r="M85" s="437">
        <v>0</v>
      </c>
      <c r="N85" s="437">
        <v>0</v>
      </c>
      <c r="O85" s="437">
        <v>40</v>
      </c>
      <c r="P85" s="469" t="s">
        <v>7</v>
      </c>
      <c r="Q85" s="437">
        <v>5</v>
      </c>
      <c r="R85" s="469" t="s">
        <v>7</v>
      </c>
      <c r="S85" s="437">
        <v>15</v>
      </c>
      <c r="T85" s="437">
        <v>5</v>
      </c>
      <c r="U85" s="469" t="s">
        <v>7</v>
      </c>
      <c r="V85" s="469" t="s">
        <v>7</v>
      </c>
      <c r="W85" s="469">
        <v>15</v>
      </c>
      <c r="X85" s="437">
        <v>0</v>
      </c>
      <c r="Y85" s="437">
        <v>0</v>
      </c>
      <c r="Z85" s="437">
        <v>10</v>
      </c>
      <c r="AA85" s="469" t="s">
        <v>7</v>
      </c>
      <c r="AB85" s="469">
        <v>0</v>
      </c>
      <c r="AC85" s="437">
        <v>10</v>
      </c>
      <c r="AD85" s="437">
        <v>5</v>
      </c>
      <c r="AE85" s="437">
        <v>10</v>
      </c>
      <c r="AF85" s="469" t="s">
        <v>7</v>
      </c>
      <c r="AG85" s="469">
        <v>0</v>
      </c>
      <c r="AH85" s="437">
        <v>0</v>
      </c>
      <c r="AI85" s="437">
        <v>15</v>
      </c>
      <c r="AJ85" s="531" t="s">
        <v>7</v>
      </c>
      <c r="AK85" s="531" t="s">
        <v>7</v>
      </c>
      <c r="AL85" s="531" t="s">
        <v>7</v>
      </c>
      <c r="AM85" s="208">
        <f t="shared" si="12"/>
        <v>23</v>
      </c>
      <c r="AN85" s="209">
        <f t="shared" si="13"/>
        <v>7.3913043478260869</v>
      </c>
      <c r="AO85" s="210">
        <f t="shared" si="14"/>
        <v>170</v>
      </c>
      <c r="AP85" s="40"/>
      <c r="AR85" s="118"/>
      <c r="AS85" s="120"/>
      <c r="AT85" s="120"/>
      <c r="AU85" s="120"/>
      <c r="AV85" s="120"/>
      <c r="AW85" s="120"/>
      <c r="AX85" s="118"/>
      <c r="AY85" s="118"/>
      <c r="AZ85" s="118"/>
    </row>
    <row r="86" spans="1:52" ht="16.5" customHeight="1">
      <c r="A86" s="40"/>
      <c r="B86" s="573">
        <v>5</v>
      </c>
      <c r="C86" s="574" t="s">
        <v>127</v>
      </c>
      <c r="D86" s="575" t="s">
        <v>2129</v>
      </c>
      <c r="E86" s="466" t="s">
        <v>7</v>
      </c>
      <c r="F86" s="469" t="s">
        <v>7</v>
      </c>
      <c r="G86" s="469" t="s">
        <v>7</v>
      </c>
      <c r="H86" s="469" t="s">
        <v>7</v>
      </c>
      <c r="I86" s="437">
        <v>10</v>
      </c>
      <c r="J86" s="437">
        <v>15</v>
      </c>
      <c r="K86" s="437">
        <v>0</v>
      </c>
      <c r="L86" s="437">
        <v>5</v>
      </c>
      <c r="M86" s="469" t="s">
        <v>7</v>
      </c>
      <c r="N86" s="469" t="s">
        <v>7</v>
      </c>
      <c r="O86" s="437">
        <v>0</v>
      </c>
      <c r="P86" s="437">
        <v>0</v>
      </c>
      <c r="Q86" s="437">
        <v>5</v>
      </c>
      <c r="R86" s="469" t="s">
        <v>7</v>
      </c>
      <c r="S86" s="437">
        <v>15</v>
      </c>
      <c r="T86" s="469" t="s">
        <v>7</v>
      </c>
      <c r="U86" s="437">
        <v>45</v>
      </c>
      <c r="V86" s="437">
        <v>5</v>
      </c>
      <c r="W86" s="437">
        <v>15</v>
      </c>
      <c r="X86" s="437">
        <v>0</v>
      </c>
      <c r="Y86" s="469" t="s">
        <v>7</v>
      </c>
      <c r="Z86" s="469" t="s">
        <v>7</v>
      </c>
      <c r="AA86" s="437">
        <v>5</v>
      </c>
      <c r="AB86" s="469">
        <v>15</v>
      </c>
      <c r="AC86" s="469" t="s">
        <v>7</v>
      </c>
      <c r="AD86" s="437">
        <v>0</v>
      </c>
      <c r="AE86" s="469" t="s">
        <v>7</v>
      </c>
      <c r="AF86" s="437">
        <v>0</v>
      </c>
      <c r="AG86" s="231">
        <v>20</v>
      </c>
      <c r="AH86" s="469" t="s">
        <v>7</v>
      </c>
      <c r="AI86" s="437">
        <v>5</v>
      </c>
      <c r="AJ86" s="469" t="s">
        <v>7</v>
      </c>
      <c r="AK86" s="469" t="s">
        <v>7</v>
      </c>
      <c r="AL86" s="531" t="s">
        <v>7</v>
      </c>
      <c r="AM86" s="208">
        <f t="shared" si="12"/>
        <v>18</v>
      </c>
      <c r="AN86" s="209">
        <f t="shared" si="13"/>
        <v>8.8888888888888893</v>
      </c>
      <c r="AO86" s="210">
        <f t="shared" si="14"/>
        <v>160</v>
      </c>
      <c r="AP86" s="40"/>
      <c r="AR86" s="118"/>
      <c r="AS86" s="120"/>
      <c r="AT86" s="120"/>
      <c r="AU86" s="120"/>
      <c r="AV86" s="120"/>
      <c r="AW86" s="120"/>
      <c r="AX86" s="118"/>
      <c r="AY86" s="118"/>
      <c r="AZ86" s="118"/>
    </row>
    <row r="87" spans="1:52" ht="16.5" customHeight="1">
      <c r="A87" s="40"/>
      <c r="B87" s="573">
        <v>6</v>
      </c>
      <c r="C87" s="574" t="s">
        <v>117</v>
      </c>
      <c r="D87" s="575" t="s">
        <v>2132</v>
      </c>
      <c r="E87" s="436">
        <v>5</v>
      </c>
      <c r="F87" s="437">
        <v>0</v>
      </c>
      <c r="G87" s="469">
        <v>0</v>
      </c>
      <c r="H87" s="437">
        <v>0</v>
      </c>
      <c r="I87" s="469">
        <v>20</v>
      </c>
      <c r="J87" s="437">
        <v>10</v>
      </c>
      <c r="K87" s="437">
        <v>15</v>
      </c>
      <c r="L87" s="469" t="s">
        <v>7</v>
      </c>
      <c r="M87" s="469" t="s">
        <v>7</v>
      </c>
      <c r="N87" s="437">
        <v>10</v>
      </c>
      <c r="O87" s="437">
        <v>10</v>
      </c>
      <c r="P87" s="469" t="s">
        <v>7</v>
      </c>
      <c r="Q87" s="437">
        <v>0</v>
      </c>
      <c r="R87" s="437">
        <v>0</v>
      </c>
      <c r="S87" s="469" t="s">
        <v>7</v>
      </c>
      <c r="T87" s="437">
        <v>30</v>
      </c>
      <c r="U87" s="437">
        <v>0</v>
      </c>
      <c r="V87" s="437">
        <v>15</v>
      </c>
      <c r="W87" s="437">
        <v>15</v>
      </c>
      <c r="X87" s="437">
        <v>60</v>
      </c>
      <c r="Y87" s="437">
        <v>5</v>
      </c>
      <c r="Z87" s="437">
        <v>10</v>
      </c>
      <c r="AA87" s="469" t="s">
        <v>7</v>
      </c>
      <c r="AB87" s="437">
        <v>15</v>
      </c>
      <c r="AC87" s="437">
        <v>0</v>
      </c>
      <c r="AD87" s="469">
        <v>0</v>
      </c>
      <c r="AE87" s="437">
        <v>15</v>
      </c>
      <c r="AF87" s="437">
        <v>5</v>
      </c>
      <c r="AG87" s="231">
        <v>0</v>
      </c>
      <c r="AH87" s="437">
        <v>0</v>
      </c>
      <c r="AI87" s="437">
        <v>0</v>
      </c>
      <c r="AJ87" s="441">
        <v>30</v>
      </c>
      <c r="AK87" s="437">
        <v>15</v>
      </c>
      <c r="AL87" s="531" t="s">
        <v>7</v>
      </c>
      <c r="AM87" s="208">
        <f t="shared" si="12"/>
        <v>28</v>
      </c>
      <c r="AN87" s="209">
        <f t="shared" si="13"/>
        <v>10.178571428571429</v>
      </c>
      <c r="AO87" s="210">
        <f t="shared" si="14"/>
        <v>285</v>
      </c>
      <c r="AP87" s="40"/>
      <c r="AR87" s="118"/>
      <c r="AS87" s="120"/>
      <c r="AT87" s="120"/>
      <c r="AU87" s="120"/>
      <c r="AV87" s="120"/>
      <c r="AW87" s="120"/>
      <c r="AX87" s="118"/>
      <c r="AY87" s="118"/>
      <c r="AZ87" s="118"/>
    </row>
    <row r="88" spans="1:52" ht="16.5" customHeight="1">
      <c r="A88" s="40"/>
      <c r="B88" s="573">
        <v>7</v>
      </c>
      <c r="C88" s="574" t="s">
        <v>121</v>
      </c>
      <c r="D88" s="575" t="s">
        <v>2148</v>
      </c>
      <c r="E88" s="466" t="s">
        <v>7</v>
      </c>
      <c r="F88" s="469">
        <v>0</v>
      </c>
      <c r="G88" s="469">
        <v>0</v>
      </c>
      <c r="H88" s="469" t="s">
        <v>7</v>
      </c>
      <c r="I88" s="469">
        <v>5</v>
      </c>
      <c r="J88" s="437">
        <v>5</v>
      </c>
      <c r="K88" s="232">
        <v>0</v>
      </c>
      <c r="L88" s="469" t="s">
        <v>7</v>
      </c>
      <c r="M88" s="437">
        <v>0</v>
      </c>
      <c r="N88" s="469">
        <v>10</v>
      </c>
      <c r="O88" s="469">
        <v>0</v>
      </c>
      <c r="P88" s="437">
        <v>5</v>
      </c>
      <c r="Q88" s="437">
        <v>20</v>
      </c>
      <c r="R88" s="469" t="s">
        <v>7</v>
      </c>
      <c r="S88" s="469" t="s">
        <v>7</v>
      </c>
      <c r="T88" s="469">
        <v>60</v>
      </c>
      <c r="U88" s="469" t="s">
        <v>7</v>
      </c>
      <c r="V88" s="469">
        <v>0</v>
      </c>
      <c r="W88" s="469" t="s">
        <v>7</v>
      </c>
      <c r="X88" s="469">
        <v>0</v>
      </c>
      <c r="Y88" s="437">
        <v>0</v>
      </c>
      <c r="Z88" s="469">
        <v>10</v>
      </c>
      <c r="AA88" s="437">
        <v>5</v>
      </c>
      <c r="AB88" s="469">
        <v>15</v>
      </c>
      <c r="AC88" s="469">
        <v>0</v>
      </c>
      <c r="AD88" s="469" t="s">
        <v>7</v>
      </c>
      <c r="AE88" s="469" t="s">
        <v>7</v>
      </c>
      <c r="AF88" s="469">
        <v>0</v>
      </c>
      <c r="AG88" s="469">
        <v>0</v>
      </c>
      <c r="AH88" s="437">
        <v>0</v>
      </c>
      <c r="AI88" s="469" t="s">
        <v>7</v>
      </c>
      <c r="AJ88" s="231">
        <v>0</v>
      </c>
      <c r="AK88" s="469" t="s">
        <v>7</v>
      </c>
      <c r="AL88" s="469" t="s">
        <v>7</v>
      </c>
      <c r="AM88" s="208">
        <f t="shared" si="12"/>
        <v>22</v>
      </c>
      <c r="AN88" s="209">
        <f t="shared" si="13"/>
        <v>6.1363636363636367</v>
      </c>
      <c r="AO88" s="210">
        <f t="shared" si="14"/>
        <v>135</v>
      </c>
      <c r="AP88" s="40"/>
      <c r="AR88" s="118"/>
      <c r="AS88" s="120"/>
      <c r="AT88" s="120"/>
      <c r="AU88" s="120"/>
      <c r="AV88" s="120"/>
      <c r="AW88" s="120"/>
      <c r="AX88" s="118"/>
      <c r="AY88" s="118"/>
      <c r="AZ88" s="118"/>
    </row>
    <row r="89" spans="1:52" ht="16.5" customHeight="1">
      <c r="A89" s="40"/>
      <c r="B89" s="573">
        <v>8</v>
      </c>
      <c r="C89" s="574" t="s">
        <v>111</v>
      </c>
      <c r="D89" s="575" t="s">
        <v>2151</v>
      </c>
      <c r="E89" s="466" t="s">
        <v>7</v>
      </c>
      <c r="F89" s="437">
        <v>5</v>
      </c>
      <c r="G89" s="437">
        <v>20</v>
      </c>
      <c r="H89" s="437">
        <v>0</v>
      </c>
      <c r="I89" s="437">
        <v>0</v>
      </c>
      <c r="J89" s="469">
        <v>5</v>
      </c>
      <c r="K89" s="437">
        <v>10</v>
      </c>
      <c r="L89" s="437">
        <v>30</v>
      </c>
      <c r="M89" s="437">
        <v>30</v>
      </c>
      <c r="N89" s="437">
        <v>5</v>
      </c>
      <c r="O89" s="232">
        <v>0</v>
      </c>
      <c r="P89" s="469">
        <v>0</v>
      </c>
      <c r="Q89" s="437">
        <v>10</v>
      </c>
      <c r="R89" s="437">
        <v>5</v>
      </c>
      <c r="S89" s="469" t="s">
        <v>7</v>
      </c>
      <c r="T89" s="469" t="s">
        <v>7</v>
      </c>
      <c r="U89" s="438">
        <v>75</v>
      </c>
      <c r="V89" s="469">
        <v>0</v>
      </c>
      <c r="W89" s="437">
        <v>10</v>
      </c>
      <c r="X89" s="232">
        <v>60</v>
      </c>
      <c r="Y89" s="438">
        <v>75</v>
      </c>
      <c r="Z89" s="437">
        <v>90</v>
      </c>
      <c r="AA89" s="469" t="s">
        <v>7</v>
      </c>
      <c r="AB89" s="231">
        <v>60</v>
      </c>
      <c r="AC89" s="437">
        <v>20</v>
      </c>
      <c r="AD89" s="437">
        <v>15</v>
      </c>
      <c r="AE89" s="437">
        <v>0</v>
      </c>
      <c r="AF89" s="469" t="s">
        <v>7</v>
      </c>
      <c r="AG89" s="232">
        <v>0</v>
      </c>
      <c r="AH89" s="469" t="s">
        <v>7</v>
      </c>
      <c r="AI89" s="437">
        <v>15</v>
      </c>
      <c r="AJ89" s="437">
        <v>40</v>
      </c>
      <c r="AK89" s="437">
        <v>30</v>
      </c>
      <c r="AL89" s="441">
        <v>40</v>
      </c>
      <c r="AM89" s="208">
        <f t="shared" si="12"/>
        <v>28</v>
      </c>
      <c r="AN89" s="209">
        <f t="shared" si="13"/>
        <v>23.214285714285715</v>
      </c>
      <c r="AO89" s="210">
        <f t="shared" si="14"/>
        <v>650</v>
      </c>
      <c r="AP89" s="40"/>
      <c r="AR89" s="118"/>
      <c r="AS89" s="120"/>
      <c r="AT89" s="120"/>
      <c r="AU89" s="120"/>
      <c r="AV89" s="120"/>
      <c r="AW89" s="120"/>
      <c r="AX89" s="118"/>
      <c r="AY89" s="118"/>
      <c r="AZ89" s="118"/>
    </row>
    <row r="90" spans="1:52" ht="16.5" customHeight="1">
      <c r="A90" s="40"/>
      <c r="B90" s="573">
        <v>9</v>
      </c>
      <c r="C90" s="574" t="s">
        <v>111</v>
      </c>
      <c r="D90" s="575" t="s">
        <v>2167</v>
      </c>
      <c r="E90" s="466" t="s">
        <v>7</v>
      </c>
      <c r="F90" s="469">
        <v>0</v>
      </c>
      <c r="G90" s="437">
        <v>10</v>
      </c>
      <c r="H90" s="437">
        <v>0</v>
      </c>
      <c r="I90" s="469">
        <v>0</v>
      </c>
      <c r="J90" s="469">
        <v>5</v>
      </c>
      <c r="K90" s="469" t="s">
        <v>7</v>
      </c>
      <c r="L90" s="469" t="s">
        <v>7</v>
      </c>
      <c r="M90" s="437">
        <v>15</v>
      </c>
      <c r="N90" s="469" t="s">
        <v>7</v>
      </c>
      <c r="O90" s="469">
        <v>0</v>
      </c>
      <c r="P90" s="469">
        <v>0</v>
      </c>
      <c r="Q90" s="469">
        <v>0</v>
      </c>
      <c r="R90" s="437">
        <v>10</v>
      </c>
      <c r="S90" s="469" t="s">
        <v>7</v>
      </c>
      <c r="T90" s="469" t="s">
        <v>7</v>
      </c>
      <c r="U90" s="437">
        <v>0</v>
      </c>
      <c r="V90" s="437">
        <v>5</v>
      </c>
      <c r="W90" s="469" t="s">
        <v>7</v>
      </c>
      <c r="X90" s="469" t="s">
        <v>7</v>
      </c>
      <c r="Y90" s="437">
        <v>5</v>
      </c>
      <c r="Z90" s="469" t="s">
        <v>7</v>
      </c>
      <c r="AA90" s="437">
        <v>0</v>
      </c>
      <c r="AB90" s="469">
        <v>0</v>
      </c>
      <c r="AC90" s="469" t="s">
        <v>7</v>
      </c>
      <c r="AD90" s="437">
        <v>10</v>
      </c>
      <c r="AE90" s="437">
        <v>5</v>
      </c>
      <c r="AF90" s="469" t="s">
        <v>7</v>
      </c>
      <c r="AG90" s="469" t="s">
        <v>7</v>
      </c>
      <c r="AH90" s="469">
        <v>0</v>
      </c>
      <c r="AI90" s="469">
        <v>0</v>
      </c>
      <c r="AJ90" s="531" t="s">
        <v>7</v>
      </c>
      <c r="AK90" s="469" t="s">
        <v>7</v>
      </c>
      <c r="AL90" s="531" t="s">
        <v>7</v>
      </c>
      <c r="AM90" s="208">
        <f t="shared" si="12"/>
        <v>19</v>
      </c>
      <c r="AN90" s="209">
        <f t="shared" si="13"/>
        <v>3.4210526315789473</v>
      </c>
      <c r="AO90" s="210">
        <f t="shared" si="14"/>
        <v>65</v>
      </c>
      <c r="AP90" s="40"/>
      <c r="AR90" s="118"/>
      <c r="AS90" s="120"/>
      <c r="AT90" s="120"/>
      <c r="AU90" s="120"/>
      <c r="AV90" s="120"/>
      <c r="AW90" s="120"/>
      <c r="AX90" s="118"/>
      <c r="AY90" s="118"/>
      <c r="AZ90" s="118"/>
    </row>
    <row r="91" spans="1:52" ht="16.5" customHeight="1">
      <c r="A91" s="40"/>
      <c r="B91" s="573">
        <v>10</v>
      </c>
      <c r="C91" s="574" t="s">
        <v>111</v>
      </c>
      <c r="D91" s="575" t="s">
        <v>2197</v>
      </c>
      <c r="E91" s="466" t="s">
        <v>7</v>
      </c>
      <c r="F91" s="437">
        <v>5</v>
      </c>
      <c r="G91" s="437">
        <v>15</v>
      </c>
      <c r="H91" s="437">
        <v>0</v>
      </c>
      <c r="I91" s="469" t="s">
        <v>7</v>
      </c>
      <c r="J91" s="469">
        <v>0</v>
      </c>
      <c r="K91" s="469" t="s">
        <v>7</v>
      </c>
      <c r="L91" s="437">
        <v>0</v>
      </c>
      <c r="M91" s="469">
        <v>0</v>
      </c>
      <c r="N91" s="469" t="s">
        <v>7</v>
      </c>
      <c r="O91" s="469">
        <v>0</v>
      </c>
      <c r="P91" s="469">
        <v>0</v>
      </c>
      <c r="Q91" s="469">
        <v>0</v>
      </c>
      <c r="R91" s="437">
        <v>0</v>
      </c>
      <c r="S91" s="469" t="s">
        <v>7</v>
      </c>
      <c r="T91" s="469" t="s">
        <v>7</v>
      </c>
      <c r="U91" s="437">
        <v>35</v>
      </c>
      <c r="V91" s="469">
        <v>0</v>
      </c>
      <c r="W91" s="469" t="s">
        <v>7</v>
      </c>
      <c r="X91" s="469" t="s">
        <v>7</v>
      </c>
      <c r="Y91" s="469">
        <v>0</v>
      </c>
      <c r="Z91" s="469" t="s">
        <v>7</v>
      </c>
      <c r="AA91" s="469">
        <v>0</v>
      </c>
      <c r="AB91" s="469" t="s">
        <v>7</v>
      </c>
      <c r="AC91" s="469" t="s">
        <v>7</v>
      </c>
      <c r="AD91" s="469">
        <v>0</v>
      </c>
      <c r="AE91" s="437">
        <v>0</v>
      </c>
      <c r="AF91" s="469" t="s">
        <v>7</v>
      </c>
      <c r="AG91" s="469" t="s">
        <v>7</v>
      </c>
      <c r="AH91" s="469">
        <v>0</v>
      </c>
      <c r="AI91" s="469">
        <v>0</v>
      </c>
      <c r="AJ91" s="469" t="s">
        <v>7</v>
      </c>
      <c r="AK91" s="469" t="s">
        <v>7</v>
      </c>
      <c r="AL91" s="531" t="s">
        <v>7</v>
      </c>
      <c r="AM91" s="208">
        <f t="shared" si="12"/>
        <v>18</v>
      </c>
      <c r="AN91" s="209">
        <f t="shared" si="13"/>
        <v>3.0555555555555554</v>
      </c>
      <c r="AO91" s="210">
        <f t="shared" si="14"/>
        <v>55</v>
      </c>
      <c r="AP91" s="40"/>
      <c r="AR91" s="118"/>
      <c r="AS91" s="120"/>
      <c r="AT91" s="120"/>
      <c r="AU91" s="120"/>
      <c r="AV91" s="120"/>
      <c r="AW91" s="120"/>
      <c r="AX91" s="118"/>
      <c r="AY91" s="118"/>
      <c r="AZ91" s="118"/>
    </row>
    <row r="92" spans="1:52" ht="16.5" customHeight="1">
      <c r="A92" s="40"/>
      <c r="B92" s="576" t="s">
        <v>1979</v>
      </c>
      <c r="C92" s="577" t="s">
        <v>115</v>
      </c>
      <c r="D92" s="578" t="s">
        <v>2112</v>
      </c>
      <c r="E92" s="466" t="s">
        <v>7</v>
      </c>
      <c r="F92" s="469" t="s">
        <v>7</v>
      </c>
      <c r="G92" s="469" t="s">
        <v>7</v>
      </c>
      <c r="H92" s="469" t="s">
        <v>7</v>
      </c>
      <c r="I92" s="469" t="s">
        <v>7</v>
      </c>
      <c r="J92" s="469" t="s">
        <v>7</v>
      </c>
      <c r="K92" s="469" t="s">
        <v>7</v>
      </c>
      <c r="L92" s="469" t="s">
        <v>7</v>
      </c>
      <c r="M92" s="469" t="s">
        <v>7</v>
      </c>
      <c r="N92" s="469" t="s">
        <v>7</v>
      </c>
      <c r="O92" s="469" t="s">
        <v>7</v>
      </c>
      <c r="P92" s="469" t="s">
        <v>7</v>
      </c>
      <c r="Q92" s="469" t="s">
        <v>7</v>
      </c>
      <c r="R92" s="469" t="s">
        <v>7</v>
      </c>
      <c r="S92" s="469" t="s">
        <v>7</v>
      </c>
      <c r="T92" s="469" t="s">
        <v>7</v>
      </c>
      <c r="U92" s="469" t="s">
        <v>7</v>
      </c>
      <c r="V92" s="469" t="s">
        <v>7</v>
      </c>
      <c r="W92" s="469" t="s">
        <v>7</v>
      </c>
      <c r="X92" s="469" t="s">
        <v>7</v>
      </c>
      <c r="Y92" s="469" t="s">
        <v>7</v>
      </c>
      <c r="Z92" s="469" t="s">
        <v>7</v>
      </c>
      <c r="AA92" s="469" t="s">
        <v>7</v>
      </c>
      <c r="AB92" s="232">
        <v>15</v>
      </c>
      <c r="AC92" s="469" t="s">
        <v>7</v>
      </c>
      <c r="AD92" s="469" t="s">
        <v>7</v>
      </c>
      <c r="AE92" s="469" t="s">
        <v>7</v>
      </c>
      <c r="AF92" s="469" t="s">
        <v>7</v>
      </c>
      <c r="AG92" s="230">
        <v>0</v>
      </c>
      <c r="AH92" s="469" t="s">
        <v>7</v>
      </c>
      <c r="AI92" s="469" t="s">
        <v>7</v>
      </c>
      <c r="AJ92" s="531" t="s">
        <v>7</v>
      </c>
      <c r="AK92" s="531" t="s">
        <v>7</v>
      </c>
      <c r="AL92" s="531" t="s">
        <v>7</v>
      </c>
      <c r="AM92" s="208">
        <f t="shared" si="12"/>
        <v>2</v>
      </c>
      <c r="AN92" s="209">
        <f t="shared" si="13"/>
        <v>7.5</v>
      </c>
      <c r="AO92" s="210">
        <f t="shared" si="14"/>
        <v>15</v>
      </c>
      <c r="AP92" s="40"/>
      <c r="AR92" s="118"/>
      <c r="AS92" s="120"/>
      <c r="AT92" s="120"/>
      <c r="AU92" s="120"/>
      <c r="AV92" s="120"/>
      <c r="AW92" s="120"/>
      <c r="AX92" s="118"/>
      <c r="AY92" s="118"/>
      <c r="AZ92" s="118"/>
    </row>
    <row r="93" spans="1:52" ht="16.5" customHeight="1" thickBot="1">
      <c r="A93" s="40"/>
      <c r="B93" s="579" t="s">
        <v>1979</v>
      </c>
      <c r="C93" s="580" t="s">
        <v>119</v>
      </c>
      <c r="D93" s="581" t="s">
        <v>2109</v>
      </c>
      <c r="E93" s="466" t="s">
        <v>7</v>
      </c>
      <c r="F93" s="469" t="s">
        <v>7</v>
      </c>
      <c r="G93" s="469" t="s">
        <v>7</v>
      </c>
      <c r="H93" s="469" t="s">
        <v>7</v>
      </c>
      <c r="I93" s="469" t="s">
        <v>7</v>
      </c>
      <c r="J93" s="469" t="s">
        <v>7</v>
      </c>
      <c r="K93" s="469" t="s">
        <v>7</v>
      </c>
      <c r="L93" s="469" t="s">
        <v>7</v>
      </c>
      <c r="M93" s="469" t="s">
        <v>7</v>
      </c>
      <c r="N93" s="469" t="s">
        <v>7</v>
      </c>
      <c r="O93" s="469" t="s">
        <v>7</v>
      </c>
      <c r="P93" s="469" t="s">
        <v>7</v>
      </c>
      <c r="Q93" s="469" t="s">
        <v>7</v>
      </c>
      <c r="R93" s="469" t="s">
        <v>7</v>
      </c>
      <c r="S93" s="469" t="s">
        <v>7</v>
      </c>
      <c r="T93" s="469" t="s">
        <v>7</v>
      </c>
      <c r="U93" s="469" t="s">
        <v>7</v>
      </c>
      <c r="V93" s="469" t="s">
        <v>7</v>
      </c>
      <c r="W93" s="469" t="s">
        <v>7</v>
      </c>
      <c r="X93" s="469" t="s">
        <v>7</v>
      </c>
      <c r="Y93" s="469" t="s">
        <v>7</v>
      </c>
      <c r="Z93" s="469" t="s">
        <v>7</v>
      </c>
      <c r="AA93" s="469" t="s">
        <v>7</v>
      </c>
      <c r="AB93" s="230">
        <v>100</v>
      </c>
      <c r="AC93" s="469" t="s">
        <v>7</v>
      </c>
      <c r="AD93" s="469" t="s">
        <v>7</v>
      </c>
      <c r="AE93" s="469" t="s">
        <v>7</v>
      </c>
      <c r="AF93" s="469" t="s">
        <v>7</v>
      </c>
      <c r="AG93" s="524">
        <v>0</v>
      </c>
      <c r="AH93" s="469" t="s">
        <v>7</v>
      </c>
      <c r="AI93" s="469" t="s">
        <v>7</v>
      </c>
      <c r="AJ93" s="531" t="s">
        <v>7</v>
      </c>
      <c r="AK93" s="531" t="s">
        <v>7</v>
      </c>
      <c r="AL93" s="531" t="s">
        <v>7</v>
      </c>
      <c r="AM93" s="211">
        <f t="shared" si="12"/>
        <v>2</v>
      </c>
      <c r="AN93" s="212">
        <f t="shared" si="13"/>
        <v>50</v>
      </c>
      <c r="AO93" s="210">
        <f t="shared" si="14"/>
        <v>100</v>
      </c>
      <c r="AP93" s="40"/>
      <c r="AR93" s="118"/>
      <c r="AS93" s="120"/>
      <c r="AT93" s="120"/>
      <c r="AU93" s="120"/>
      <c r="AV93" s="120"/>
      <c r="AW93" s="120"/>
      <c r="AX93" s="118"/>
      <c r="AY93" s="118"/>
      <c r="AZ93" s="118"/>
    </row>
    <row r="94" spans="1:52" ht="19.5" customHeight="1">
      <c r="A94" s="40"/>
      <c r="B94" s="588" t="s">
        <v>24</v>
      </c>
      <c r="C94" s="589"/>
      <c r="D94" s="590"/>
      <c r="E94" s="213">
        <v>0</v>
      </c>
      <c r="F94" s="214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>
        <v>1</v>
      </c>
      <c r="V94" s="214">
        <v>0</v>
      </c>
      <c r="W94" s="214">
        <v>0</v>
      </c>
      <c r="X94" s="214">
        <v>0</v>
      </c>
      <c r="Y94" s="214">
        <v>1</v>
      </c>
      <c r="Z94" s="214">
        <v>0</v>
      </c>
      <c r="AA94" s="214">
        <v>0</v>
      </c>
      <c r="AB94" s="214">
        <v>0</v>
      </c>
      <c r="AC94" s="214">
        <v>0</v>
      </c>
      <c r="AD94" s="214">
        <v>0</v>
      </c>
      <c r="AE94" s="214">
        <v>0</v>
      </c>
      <c r="AF94" s="214">
        <v>0</v>
      </c>
      <c r="AG94" s="214">
        <v>0</v>
      </c>
      <c r="AH94" s="214">
        <v>0</v>
      </c>
      <c r="AI94" s="214">
        <v>0</v>
      </c>
      <c r="AJ94" s="215">
        <v>0</v>
      </c>
      <c r="AK94" s="215">
        <v>0</v>
      </c>
      <c r="AL94" s="215">
        <v>0</v>
      </c>
      <c r="AM94" s="216" t="s">
        <v>7</v>
      </c>
      <c r="AN94" s="217">
        <f t="shared" si="13"/>
        <v>5.8823529411764705E-2</v>
      </c>
      <c r="AO94" s="218">
        <f t="shared" si="14"/>
        <v>2</v>
      </c>
      <c r="AP94" s="40"/>
      <c r="AR94" s="118"/>
      <c r="AS94" s="120"/>
      <c r="AT94" s="120"/>
      <c r="AU94" s="120"/>
      <c r="AV94" s="120"/>
      <c r="AW94" s="120"/>
      <c r="AX94" s="118"/>
      <c r="AY94" s="118"/>
      <c r="AZ94" s="118"/>
    </row>
    <row r="95" spans="1:52" ht="19.5" customHeight="1">
      <c r="A95" s="40"/>
      <c r="B95" s="598" t="s">
        <v>25</v>
      </c>
      <c r="C95" s="599"/>
      <c r="D95" s="600"/>
      <c r="E95" s="219">
        <v>1</v>
      </c>
      <c r="F95" s="219">
        <v>0</v>
      </c>
      <c r="G95" s="219">
        <v>1</v>
      </c>
      <c r="H95" s="219">
        <v>0</v>
      </c>
      <c r="I95" s="219">
        <v>0</v>
      </c>
      <c r="J95" s="219">
        <v>0</v>
      </c>
      <c r="K95" s="219">
        <v>0</v>
      </c>
      <c r="L95" s="219">
        <v>1</v>
      </c>
      <c r="M95" s="219">
        <v>1</v>
      </c>
      <c r="N95" s="219">
        <v>0</v>
      </c>
      <c r="O95" s="219">
        <v>1</v>
      </c>
      <c r="P95" s="219">
        <v>0</v>
      </c>
      <c r="Q95" s="219">
        <v>1</v>
      </c>
      <c r="R95" s="219">
        <v>0</v>
      </c>
      <c r="S95" s="219">
        <v>1</v>
      </c>
      <c r="T95" s="219">
        <v>1</v>
      </c>
      <c r="U95" s="219">
        <v>3</v>
      </c>
      <c r="V95" s="219">
        <v>1</v>
      </c>
      <c r="W95" s="219">
        <v>0</v>
      </c>
      <c r="X95" s="219">
        <v>2</v>
      </c>
      <c r="Y95" s="219">
        <v>1</v>
      </c>
      <c r="Z95" s="219">
        <v>1</v>
      </c>
      <c r="AA95" s="219">
        <v>2</v>
      </c>
      <c r="AB95" s="219">
        <v>3</v>
      </c>
      <c r="AC95" s="219">
        <v>0</v>
      </c>
      <c r="AD95" s="219">
        <v>0</v>
      </c>
      <c r="AE95" s="219">
        <v>0</v>
      </c>
      <c r="AF95" s="219">
        <v>1</v>
      </c>
      <c r="AG95" s="219">
        <v>1</v>
      </c>
      <c r="AH95" s="219">
        <v>0</v>
      </c>
      <c r="AI95" s="219">
        <v>0</v>
      </c>
      <c r="AJ95" s="220">
        <v>1</v>
      </c>
      <c r="AK95" s="220">
        <v>1</v>
      </c>
      <c r="AL95" s="220">
        <v>2</v>
      </c>
      <c r="AM95" s="220" t="s">
        <v>7</v>
      </c>
      <c r="AN95" s="221">
        <f t="shared" si="13"/>
        <v>0.79411764705882348</v>
      </c>
      <c r="AO95" s="222">
        <f t="shared" si="14"/>
        <v>27</v>
      </c>
      <c r="AP95" s="40"/>
      <c r="AR95" s="118"/>
      <c r="AS95" s="118">
        <f>AS96/16</f>
        <v>37.1875</v>
      </c>
      <c r="AT95" s="118">
        <f>AT96/7</f>
        <v>56.428571428571431</v>
      </c>
      <c r="AU95" s="118">
        <f>AU96/7</f>
        <v>92.857142857142861</v>
      </c>
      <c r="AV95" s="118">
        <f>AV96/5</f>
        <v>57</v>
      </c>
      <c r="AW95" s="120"/>
      <c r="AX95" s="118"/>
      <c r="AY95" s="118"/>
      <c r="AZ95" s="118"/>
    </row>
    <row r="96" spans="1:52" ht="21" customHeight="1" thickBot="1">
      <c r="A96" s="40"/>
      <c r="B96" s="710" t="s">
        <v>26</v>
      </c>
      <c r="C96" s="711"/>
      <c r="D96" s="712"/>
      <c r="E96" s="53">
        <v>50</v>
      </c>
      <c r="F96" s="53">
        <v>10</v>
      </c>
      <c r="G96" s="53">
        <v>50</v>
      </c>
      <c r="H96" s="53">
        <v>0</v>
      </c>
      <c r="I96" s="53">
        <v>30</v>
      </c>
      <c r="J96" s="53">
        <v>40</v>
      </c>
      <c r="K96" s="53">
        <v>70</v>
      </c>
      <c r="L96" s="53">
        <v>35</v>
      </c>
      <c r="M96" s="53">
        <v>45</v>
      </c>
      <c r="N96" s="53">
        <v>25</v>
      </c>
      <c r="O96" s="53">
        <v>50</v>
      </c>
      <c r="P96" s="53">
        <v>30</v>
      </c>
      <c r="Q96" s="53">
        <v>40</v>
      </c>
      <c r="R96" s="53">
        <v>15</v>
      </c>
      <c r="S96" s="53">
        <v>185</v>
      </c>
      <c r="T96" s="53">
        <v>70</v>
      </c>
      <c r="U96" s="53">
        <v>155</v>
      </c>
      <c r="V96" s="53">
        <v>50</v>
      </c>
      <c r="W96" s="53">
        <v>80</v>
      </c>
      <c r="X96" s="53">
        <v>175</v>
      </c>
      <c r="Y96" s="53">
        <v>85</v>
      </c>
      <c r="Z96" s="53">
        <v>155</v>
      </c>
      <c r="AA96" s="53">
        <v>110</v>
      </c>
      <c r="AB96" s="53">
        <v>350</v>
      </c>
      <c r="AC96" s="53">
        <v>40</v>
      </c>
      <c r="AD96" s="53">
        <v>30</v>
      </c>
      <c r="AE96" s="53">
        <v>30</v>
      </c>
      <c r="AF96" s="53">
        <v>40</v>
      </c>
      <c r="AG96" s="53">
        <v>115</v>
      </c>
      <c r="AH96" s="53">
        <v>0</v>
      </c>
      <c r="AI96" s="53">
        <v>35</v>
      </c>
      <c r="AJ96" s="54">
        <v>95</v>
      </c>
      <c r="AK96" s="54">
        <v>115</v>
      </c>
      <c r="AL96" s="53">
        <v>80</v>
      </c>
      <c r="AM96" s="55" t="s">
        <v>7</v>
      </c>
      <c r="AN96" s="223">
        <f t="shared" si="13"/>
        <v>73.088235294117652</v>
      </c>
      <c r="AO96" s="56">
        <f t="shared" si="14"/>
        <v>2485</v>
      </c>
      <c r="AP96" s="40"/>
      <c r="AR96" s="118"/>
      <c r="AS96" s="120">
        <f>SUM(F172:H172,J172,L172,M172,P172,Q172,R172,U172,V172,Y172,AD172,AE172,AH172,AI172)</f>
        <v>595</v>
      </c>
      <c r="AT96" s="120">
        <f>SUM(E172,I172,N172,T172,AA172,AC172,AF172)</f>
        <v>395</v>
      </c>
      <c r="AU96" s="120">
        <f>SUM(K172,O172,W172,Z172,AJ172,AK172,AL172)</f>
        <v>650</v>
      </c>
      <c r="AV96" s="120">
        <f>SUM(S172,X172,AB172,AG172)</f>
        <v>285</v>
      </c>
      <c r="AW96" s="120"/>
      <c r="AX96" s="118"/>
      <c r="AY96" s="118"/>
      <c r="AZ96" s="118"/>
    </row>
    <row r="97" spans="1:52" ht="12.75" customHeight="1" thickBot="1">
      <c r="A97" s="40"/>
      <c r="B97" s="57"/>
      <c r="C97" s="291"/>
      <c r="D97" s="58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60"/>
      <c r="AO97" s="61"/>
      <c r="AP97" s="40"/>
      <c r="AR97" s="118"/>
      <c r="AS97" s="120"/>
      <c r="AT97" s="120"/>
      <c r="AU97" s="120"/>
      <c r="AV97" s="120"/>
      <c r="AW97" s="120"/>
      <c r="AX97" s="118"/>
      <c r="AY97" s="118"/>
      <c r="AZ97" s="118"/>
    </row>
    <row r="98" spans="1:52" ht="27" thickBot="1">
      <c r="A98" s="40"/>
      <c r="B98" s="593" t="s">
        <v>14</v>
      </c>
      <c r="C98" s="594"/>
      <c r="D98" s="594"/>
      <c r="E98" s="183"/>
      <c r="F98" s="184"/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5"/>
      <c r="AA98" s="185"/>
      <c r="AB98" s="185"/>
      <c r="AC98" s="185"/>
      <c r="AD98" s="185"/>
      <c r="AE98" s="185"/>
      <c r="AF98" s="185"/>
      <c r="AG98" s="185"/>
      <c r="AH98" s="185"/>
      <c r="AI98" s="226">
        <v>0</v>
      </c>
      <c r="AJ98" s="227">
        <v>0</v>
      </c>
      <c r="AK98" s="228">
        <v>0</v>
      </c>
      <c r="AL98" s="233">
        <v>9</v>
      </c>
      <c r="AM98" s="657" t="s">
        <v>2018</v>
      </c>
      <c r="AN98" s="658"/>
      <c r="AO98" s="659"/>
      <c r="AP98" s="40"/>
      <c r="AR98" s="121"/>
      <c r="AS98" s="121"/>
      <c r="AT98" s="121"/>
      <c r="AU98" s="120"/>
      <c r="AV98" s="120"/>
      <c r="AW98" s="120"/>
      <c r="AX98" s="118"/>
      <c r="AY98" s="118"/>
      <c r="AZ98" s="118"/>
    </row>
    <row r="99" spans="1:52" ht="13.5" customHeight="1">
      <c r="A99" s="40"/>
      <c r="B99" s="751" t="s">
        <v>16</v>
      </c>
      <c r="C99" s="752"/>
      <c r="D99" s="753"/>
      <c r="E99" s="87">
        <v>1</v>
      </c>
      <c r="F99" s="87">
        <v>2</v>
      </c>
      <c r="G99" s="87">
        <v>3</v>
      </c>
      <c r="H99" s="87">
        <v>4</v>
      </c>
      <c r="I99" s="87">
        <v>5</v>
      </c>
      <c r="J99" s="87">
        <v>6</v>
      </c>
      <c r="K99" s="87">
        <v>7</v>
      </c>
      <c r="L99" s="87">
        <v>8</v>
      </c>
      <c r="M99" s="87">
        <v>9</v>
      </c>
      <c r="N99" s="87">
        <v>10</v>
      </c>
      <c r="O99" s="87">
        <v>11</v>
      </c>
      <c r="P99" s="87">
        <v>12</v>
      </c>
      <c r="Q99" s="87">
        <v>13</v>
      </c>
      <c r="R99" s="87">
        <v>14</v>
      </c>
      <c r="S99" s="87">
        <v>15</v>
      </c>
      <c r="T99" s="87">
        <v>16</v>
      </c>
      <c r="U99" s="87">
        <v>17</v>
      </c>
      <c r="V99" s="88">
        <v>18</v>
      </c>
      <c r="W99" s="88">
        <v>19</v>
      </c>
      <c r="X99" s="88">
        <v>20</v>
      </c>
      <c r="Y99" s="88">
        <v>21</v>
      </c>
      <c r="Z99" s="88">
        <v>22</v>
      </c>
      <c r="AA99" s="88">
        <v>23</v>
      </c>
      <c r="AB99" s="88">
        <v>24</v>
      </c>
      <c r="AC99" s="88">
        <v>25</v>
      </c>
      <c r="AD99" s="88">
        <v>26</v>
      </c>
      <c r="AE99" s="88">
        <v>27</v>
      </c>
      <c r="AF99" s="88">
        <v>28</v>
      </c>
      <c r="AG99" s="88">
        <v>29</v>
      </c>
      <c r="AH99" s="88">
        <v>30</v>
      </c>
      <c r="AI99" s="88">
        <v>31</v>
      </c>
      <c r="AJ99" s="88">
        <v>32</v>
      </c>
      <c r="AK99" s="88">
        <v>33</v>
      </c>
      <c r="AL99" s="88">
        <v>34</v>
      </c>
      <c r="AM99" s="682" t="s">
        <v>17</v>
      </c>
      <c r="AN99" s="680" t="s">
        <v>18</v>
      </c>
      <c r="AO99" s="678" t="s">
        <v>19</v>
      </c>
      <c r="AP99" s="40"/>
      <c r="AR99" s="118"/>
      <c r="AS99" s="120"/>
      <c r="AT99" s="120"/>
      <c r="AU99" s="120"/>
      <c r="AV99" s="120"/>
      <c r="AW99" s="120"/>
      <c r="AX99" s="118"/>
      <c r="AY99" s="118"/>
      <c r="AZ99" s="118"/>
    </row>
    <row r="100" spans="1:52" ht="13.5" customHeight="1" thickBot="1">
      <c r="A100" s="40"/>
      <c r="B100" s="754"/>
      <c r="C100" s="755"/>
      <c r="D100" s="756"/>
      <c r="E100" s="89" t="s">
        <v>21</v>
      </c>
      <c r="F100" s="89" t="s">
        <v>20</v>
      </c>
      <c r="G100" s="89" t="s">
        <v>20</v>
      </c>
      <c r="H100" s="89" t="s">
        <v>20</v>
      </c>
      <c r="I100" s="89" t="s">
        <v>21</v>
      </c>
      <c r="J100" s="89" t="s">
        <v>20</v>
      </c>
      <c r="K100" s="89" t="s">
        <v>22</v>
      </c>
      <c r="L100" s="89" t="s">
        <v>20</v>
      </c>
      <c r="M100" s="89" t="s">
        <v>20</v>
      </c>
      <c r="N100" s="89" t="s">
        <v>21</v>
      </c>
      <c r="O100" s="89" t="s">
        <v>22</v>
      </c>
      <c r="P100" s="89" t="s">
        <v>20</v>
      </c>
      <c r="Q100" s="89" t="s">
        <v>20</v>
      </c>
      <c r="R100" s="89" t="s">
        <v>20</v>
      </c>
      <c r="S100" s="89" t="s">
        <v>23</v>
      </c>
      <c r="T100" s="89" t="s">
        <v>21</v>
      </c>
      <c r="U100" s="89" t="s">
        <v>20</v>
      </c>
      <c r="V100" s="89" t="s">
        <v>20</v>
      </c>
      <c r="W100" s="89" t="s">
        <v>22</v>
      </c>
      <c r="X100" s="89" t="s">
        <v>23</v>
      </c>
      <c r="Y100" s="89" t="s">
        <v>20</v>
      </c>
      <c r="Z100" s="89" t="s">
        <v>22</v>
      </c>
      <c r="AA100" s="89" t="s">
        <v>21</v>
      </c>
      <c r="AB100" s="89" t="s">
        <v>23</v>
      </c>
      <c r="AC100" s="89" t="s">
        <v>21</v>
      </c>
      <c r="AD100" s="89" t="s">
        <v>20</v>
      </c>
      <c r="AE100" s="89" t="s">
        <v>20</v>
      </c>
      <c r="AF100" s="89" t="s">
        <v>21</v>
      </c>
      <c r="AG100" s="89" t="s">
        <v>23</v>
      </c>
      <c r="AH100" s="89" t="s">
        <v>20</v>
      </c>
      <c r="AI100" s="89" t="s">
        <v>20</v>
      </c>
      <c r="AJ100" s="89" t="s">
        <v>22</v>
      </c>
      <c r="AK100" s="89" t="s">
        <v>22</v>
      </c>
      <c r="AL100" s="89" t="s">
        <v>22</v>
      </c>
      <c r="AM100" s="683"/>
      <c r="AN100" s="681"/>
      <c r="AO100" s="679"/>
      <c r="AP100" s="40"/>
      <c r="AR100" s="118"/>
      <c r="AS100" s="120"/>
      <c r="AT100" s="120"/>
      <c r="AU100" s="120"/>
      <c r="AV100" s="120"/>
      <c r="AW100" s="120"/>
      <c r="AX100" s="118"/>
      <c r="AY100" s="118"/>
      <c r="AZ100" s="118"/>
    </row>
    <row r="101" spans="1:52" ht="16.5" customHeight="1">
      <c r="A101" s="40"/>
      <c r="B101" s="83">
        <v>1</v>
      </c>
      <c r="C101" s="301" t="s">
        <v>115</v>
      </c>
      <c r="D101" s="84" t="s">
        <v>2069</v>
      </c>
      <c r="E101" s="436">
        <v>5</v>
      </c>
      <c r="F101" s="469" t="s">
        <v>7</v>
      </c>
      <c r="G101" s="437">
        <v>35</v>
      </c>
      <c r="H101" s="437">
        <v>5</v>
      </c>
      <c r="I101" s="437">
        <v>20</v>
      </c>
      <c r="J101" s="469" t="s">
        <v>7</v>
      </c>
      <c r="K101" s="437">
        <v>10</v>
      </c>
      <c r="L101" s="469" t="s">
        <v>7</v>
      </c>
      <c r="M101" s="469" t="s">
        <v>7</v>
      </c>
      <c r="N101" s="437">
        <v>30</v>
      </c>
      <c r="O101" s="469" t="s">
        <v>7</v>
      </c>
      <c r="P101" s="469" t="s">
        <v>7</v>
      </c>
      <c r="Q101" s="437">
        <v>5</v>
      </c>
      <c r="R101" s="469" t="s">
        <v>7</v>
      </c>
      <c r="S101" s="437">
        <v>60</v>
      </c>
      <c r="T101" s="437">
        <v>5</v>
      </c>
      <c r="U101" s="469" t="s">
        <v>7</v>
      </c>
      <c r="V101" s="476" t="s">
        <v>7</v>
      </c>
      <c r="W101" s="476" t="s">
        <v>7</v>
      </c>
      <c r="X101" s="437">
        <v>0</v>
      </c>
      <c r="Y101" s="476" t="s">
        <v>7</v>
      </c>
      <c r="Z101" s="476" t="s">
        <v>7</v>
      </c>
      <c r="AA101" s="476" t="s">
        <v>7</v>
      </c>
      <c r="AB101" s="437">
        <v>20</v>
      </c>
      <c r="AC101" s="208">
        <v>50</v>
      </c>
      <c r="AD101" s="476" t="s">
        <v>7</v>
      </c>
      <c r="AE101" s="208">
        <v>0</v>
      </c>
      <c r="AF101" s="469" t="s">
        <v>7</v>
      </c>
      <c r="AG101" s="208">
        <v>0</v>
      </c>
      <c r="AH101" s="476" t="s">
        <v>7</v>
      </c>
      <c r="AI101" s="476" t="s">
        <v>7</v>
      </c>
      <c r="AJ101" s="208">
        <v>0</v>
      </c>
      <c r="AK101" s="208">
        <v>15</v>
      </c>
      <c r="AL101" s="476" t="s">
        <v>7</v>
      </c>
      <c r="AM101" s="205">
        <f t="shared" ref="AM101:AM112" si="15">COUNT(E101:AL101)</f>
        <v>16</v>
      </c>
      <c r="AN101" s="206">
        <f t="shared" ref="AN101:AN115" si="16">IF(ISERROR(AVERAGE(E101:AL101)),0,(AVERAGE(E101:AL101)))</f>
        <v>16.25</v>
      </c>
      <c r="AO101" s="207">
        <f t="shared" ref="AO101:AO115" si="17">SUM(E101:AL101)</f>
        <v>260</v>
      </c>
      <c r="AP101" s="40"/>
      <c r="AR101" s="118"/>
      <c r="AS101" s="120"/>
      <c r="AT101" s="120"/>
      <c r="AU101" s="120"/>
      <c r="AV101" s="120"/>
      <c r="AW101" s="120"/>
      <c r="AX101" s="118"/>
      <c r="AY101" s="118"/>
      <c r="AZ101" s="118"/>
    </row>
    <row r="102" spans="1:52" ht="16.5" customHeight="1">
      <c r="A102" s="40"/>
      <c r="B102" s="85">
        <v>2</v>
      </c>
      <c r="C102" s="302" t="s">
        <v>123</v>
      </c>
      <c r="D102" s="86" t="s">
        <v>2070</v>
      </c>
      <c r="E102" s="442">
        <v>125</v>
      </c>
      <c r="F102" s="437">
        <v>10</v>
      </c>
      <c r="G102" s="469" t="s">
        <v>7</v>
      </c>
      <c r="H102" s="437">
        <v>5</v>
      </c>
      <c r="I102" s="437">
        <v>5</v>
      </c>
      <c r="J102" s="437">
        <v>10</v>
      </c>
      <c r="K102" s="437">
        <v>30</v>
      </c>
      <c r="L102" s="469" t="s">
        <v>7</v>
      </c>
      <c r="M102" s="469" t="s">
        <v>7</v>
      </c>
      <c r="N102" s="437">
        <v>10</v>
      </c>
      <c r="O102" s="437">
        <v>0</v>
      </c>
      <c r="P102" s="469" t="s">
        <v>7</v>
      </c>
      <c r="Q102" s="469" t="s">
        <v>7</v>
      </c>
      <c r="R102" s="437">
        <v>0</v>
      </c>
      <c r="S102" s="231">
        <v>20</v>
      </c>
      <c r="T102" s="469" t="s">
        <v>7</v>
      </c>
      <c r="U102" s="469" t="s">
        <v>7</v>
      </c>
      <c r="V102" s="469" t="s">
        <v>7</v>
      </c>
      <c r="W102" s="437">
        <v>15</v>
      </c>
      <c r="X102" s="437">
        <v>0</v>
      </c>
      <c r="Y102" s="437">
        <v>5</v>
      </c>
      <c r="Z102" s="437">
        <v>10</v>
      </c>
      <c r="AA102" s="469" t="s">
        <v>7</v>
      </c>
      <c r="AB102" s="469">
        <v>15</v>
      </c>
      <c r="AC102" s="437">
        <v>5</v>
      </c>
      <c r="AD102" s="437">
        <v>15</v>
      </c>
      <c r="AE102" s="469" t="s">
        <v>7</v>
      </c>
      <c r="AF102" s="469" t="s">
        <v>7</v>
      </c>
      <c r="AG102" s="437">
        <v>20</v>
      </c>
      <c r="AH102" s="469" t="s">
        <v>7</v>
      </c>
      <c r="AI102" s="437">
        <v>10</v>
      </c>
      <c r="AJ102" s="437">
        <v>15</v>
      </c>
      <c r="AK102" s="437">
        <v>10</v>
      </c>
      <c r="AL102" s="437">
        <v>10</v>
      </c>
      <c r="AM102" s="208">
        <f t="shared" si="15"/>
        <v>22</v>
      </c>
      <c r="AN102" s="209">
        <f t="shared" si="16"/>
        <v>15.681818181818182</v>
      </c>
      <c r="AO102" s="210">
        <f t="shared" si="17"/>
        <v>345</v>
      </c>
      <c r="AP102" s="40"/>
      <c r="AR102" s="118"/>
      <c r="AS102" s="120"/>
      <c r="AT102" s="120"/>
      <c r="AU102" s="120"/>
      <c r="AV102" s="120"/>
      <c r="AW102" s="120"/>
      <c r="AX102" s="118"/>
      <c r="AY102" s="118"/>
      <c r="AZ102" s="118"/>
    </row>
    <row r="103" spans="1:52" ht="16.5" customHeight="1">
      <c r="A103" s="40"/>
      <c r="B103" s="85">
        <v>3</v>
      </c>
      <c r="C103" s="302" t="s">
        <v>111</v>
      </c>
      <c r="D103" s="86" t="s">
        <v>2116</v>
      </c>
      <c r="E103" s="436">
        <v>20</v>
      </c>
      <c r="F103" s="437">
        <v>20</v>
      </c>
      <c r="G103" s="469" t="s">
        <v>7</v>
      </c>
      <c r="H103" s="437">
        <v>15</v>
      </c>
      <c r="I103" s="469">
        <v>0</v>
      </c>
      <c r="J103" s="469" t="s">
        <v>7</v>
      </c>
      <c r="K103" s="437">
        <v>10</v>
      </c>
      <c r="L103" s="469" t="s">
        <v>7</v>
      </c>
      <c r="M103" s="469" t="s">
        <v>7</v>
      </c>
      <c r="N103" s="437">
        <v>40</v>
      </c>
      <c r="O103" s="437">
        <v>15</v>
      </c>
      <c r="P103" s="469" t="s">
        <v>7</v>
      </c>
      <c r="Q103" s="469" t="s">
        <v>7</v>
      </c>
      <c r="R103" s="437">
        <v>5</v>
      </c>
      <c r="S103" s="437">
        <v>0</v>
      </c>
      <c r="T103" s="437">
        <v>10</v>
      </c>
      <c r="U103" s="469" t="s">
        <v>7</v>
      </c>
      <c r="V103" s="469" t="s">
        <v>7</v>
      </c>
      <c r="W103" s="437">
        <v>10</v>
      </c>
      <c r="X103" s="437">
        <v>60</v>
      </c>
      <c r="Y103" s="469" t="s">
        <v>7</v>
      </c>
      <c r="Z103" s="437">
        <v>40</v>
      </c>
      <c r="AA103" s="469" t="s">
        <v>7</v>
      </c>
      <c r="AB103" s="437">
        <v>15</v>
      </c>
      <c r="AC103" s="438">
        <v>125</v>
      </c>
      <c r="AD103" s="437">
        <v>5</v>
      </c>
      <c r="AE103" s="469" t="s">
        <v>7</v>
      </c>
      <c r="AF103" s="469" t="s">
        <v>7</v>
      </c>
      <c r="AG103" s="437">
        <v>15</v>
      </c>
      <c r="AH103" s="469" t="s">
        <v>7</v>
      </c>
      <c r="AI103" s="208">
        <v>0</v>
      </c>
      <c r="AJ103" s="208">
        <v>10</v>
      </c>
      <c r="AK103" s="208">
        <v>15</v>
      </c>
      <c r="AL103" s="231">
        <v>40</v>
      </c>
      <c r="AM103" s="208">
        <f t="shared" si="15"/>
        <v>21</v>
      </c>
      <c r="AN103" s="209">
        <f t="shared" si="16"/>
        <v>22.38095238095238</v>
      </c>
      <c r="AO103" s="210">
        <f t="shared" si="17"/>
        <v>470</v>
      </c>
      <c r="AP103" s="40"/>
      <c r="AR103" s="118"/>
      <c r="AS103" s="120"/>
      <c r="AT103" s="120"/>
      <c r="AU103" s="120"/>
      <c r="AV103" s="120"/>
      <c r="AW103" s="120"/>
      <c r="AX103" s="118"/>
      <c r="AY103" s="118"/>
      <c r="AZ103" s="118"/>
    </row>
    <row r="104" spans="1:52" ht="16.5" customHeight="1">
      <c r="A104" s="40"/>
      <c r="B104" s="85">
        <v>4</v>
      </c>
      <c r="C104" s="302" t="s">
        <v>114</v>
      </c>
      <c r="D104" s="86" t="s">
        <v>2136</v>
      </c>
      <c r="E104" s="466" t="s">
        <v>7</v>
      </c>
      <c r="F104" s="469" t="s">
        <v>7</v>
      </c>
      <c r="G104" s="469" t="s">
        <v>7</v>
      </c>
      <c r="H104" s="437">
        <v>0</v>
      </c>
      <c r="I104" s="230">
        <v>60</v>
      </c>
      <c r="J104" s="469" t="s">
        <v>7</v>
      </c>
      <c r="K104" s="437">
        <v>0</v>
      </c>
      <c r="L104" s="469" t="s">
        <v>7</v>
      </c>
      <c r="M104" s="469" t="s">
        <v>7</v>
      </c>
      <c r="N104" s="437">
        <v>30</v>
      </c>
      <c r="O104" s="437">
        <v>0</v>
      </c>
      <c r="P104" s="469" t="s">
        <v>7</v>
      </c>
      <c r="Q104" s="469" t="s">
        <v>7</v>
      </c>
      <c r="R104" s="437">
        <v>5</v>
      </c>
      <c r="S104" s="437">
        <v>140</v>
      </c>
      <c r="T104" s="437">
        <v>5</v>
      </c>
      <c r="U104" s="469" t="s">
        <v>7</v>
      </c>
      <c r="V104" s="469" t="s">
        <v>7</v>
      </c>
      <c r="W104" s="437">
        <v>0</v>
      </c>
      <c r="X104" s="469">
        <v>0</v>
      </c>
      <c r="Y104" s="469" t="s">
        <v>7</v>
      </c>
      <c r="Z104" s="437">
        <v>10</v>
      </c>
      <c r="AA104" s="437">
        <v>0</v>
      </c>
      <c r="AB104" s="469">
        <v>0</v>
      </c>
      <c r="AC104" s="469" t="s">
        <v>7</v>
      </c>
      <c r="AD104" s="469" t="s">
        <v>7</v>
      </c>
      <c r="AE104" s="469" t="s">
        <v>7</v>
      </c>
      <c r="AF104" s="437">
        <v>30</v>
      </c>
      <c r="AG104" s="232">
        <v>20</v>
      </c>
      <c r="AH104" s="469" t="s">
        <v>7</v>
      </c>
      <c r="AI104" s="469" t="s">
        <v>7</v>
      </c>
      <c r="AJ104" s="438">
        <v>150</v>
      </c>
      <c r="AK104" s="231">
        <v>10</v>
      </c>
      <c r="AL104" s="437">
        <v>15</v>
      </c>
      <c r="AM104" s="208">
        <f t="shared" si="15"/>
        <v>18</v>
      </c>
      <c r="AN104" s="209">
        <f t="shared" si="16"/>
        <v>26.388888888888889</v>
      </c>
      <c r="AO104" s="210">
        <f t="shared" si="17"/>
        <v>475</v>
      </c>
      <c r="AP104" s="40"/>
      <c r="AR104" s="118"/>
      <c r="AS104" s="120"/>
      <c r="AT104" s="120"/>
      <c r="AU104" s="120"/>
      <c r="AV104" s="120"/>
      <c r="AW104" s="120"/>
      <c r="AX104" s="118"/>
      <c r="AY104" s="118"/>
      <c r="AZ104" s="118"/>
    </row>
    <row r="105" spans="1:52" ht="16.5" customHeight="1">
      <c r="A105" s="40"/>
      <c r="B105" s="85">
        <v>5</v>
      </c>
      <c r="C105" s="302" t="s">
        <v>115</v>
      </c>
      <c r="D105" s="86" t="s">
        <v>2144</v>
      </c>
      <c r="E105" s="466" t="s">
        <v>7</v>
      </c>
      <c r="F105" s="469" t="s">
        <v>7</v>
      </c>
      <c r="G105" s="469" t="s">
        <v>7</v>
      </c>
      <c r="H105" s="469" t="s">
        <v>7</v>
      </c>
      <c r="I105" s="469">
        <v>10</v>
      </c>
      <c r="J105" s="437">
        <v>15</v>
      </c>
      <c r="K105" s="437">
        <v>10</v>
      </c>
      <c r="L105" s="469" t="s">
        <v>7</v>
      </c>
      <c r="M105" s="437">
        <v>15</v>
      </c>
      <c r="N105" s="437">
        <v>0</v>
      </c>
      <c r="O105" s="437">
        <v>15</v>
      </c>
      <c r="P105" s="469" t="s">
        <v>7</v>
      </c>
      <c r="Q105" s="438">
        <v>75</v>
      </c>
      <c r="R105" s="469" t="s">
        <v>7</v>
      </c>
      <c r="S105" s="437">
        <v>15</v>
      </c>
      <c r="T105" s="437">
        <v>0</v>
      </c>
      <c r="U105" s="469" t="s">
        <v>7</v>
      </c>
      <c r="V105" s="469" t="s">
        <v>7</v>
      </c>
      <c r="W105" s="437">
        <v>0</v>
      </c>
      <c r="X105" s="437">
        <v>0</v>
      </c>
      <c r="Y105" s="469" t="s">
        <v>7</v>
      </c>
      <c r="Z105" s="437">
        <v>10</v>
      </c>
      <c r="AA105" s="469" t="s">
        <v>7</v>
      </c>
      <c r="AB105" s="437">
        <v>0</v>
      </c>
      <c r="AC105" s="437">
        <v>0</v>
      </c>
      <c r="AD105" s="437">
        <v>15</v>
      </c>
      <c r="AE105" s="469" t="s">
        <v>7</v>
      </c>
      <c r="AF105" s="469" t="s">
        <v>7</v>
      </c>
      <c r="AG105" s="437">
        <v>0</v>
      </c>
      <c r="AH105" s="469" t="s">
        <v>7</v>
      </c>
      <c r="AI105" s="476" t="s">
        <v>7</v>
      </c>
      <c r="AJ105" s="208">
        <v>0</v>
      </c>
      <c r="AK105" s="476" t="s">
        <v>7</v>
      </c>
      <c r="AL105" s="476" t="s">
        <v>7</v>
      </c>
      <c r="AM105" s="208">
        <f t="shared" si="15"/>
        <v>17</v>
      </c>
      <c r="AN105" s="209">
        <f t="shared" si="16"/>
        <v>10.588235294117647</v>
      </c>
      <c r="AO105" s="210">
        <f t="shared" si="17"/>
        <v>180</v>
      </c>
      <c r="AP105" s="40"/>
      <c r="AR105" s="118"/>
      <c r="AS105" s="120"/>
      <c r="AT105" s="120"/>
      <c r="AU105" s="120"/>
      <c r="AV105" s="120"/>
      <c r="AW105" s="120"/>
      <c r="AX105" s="118"/>
      <c r="AY105" s="118"/>
      <c r="AZ105" s="118"/>
    </row>
    <row r="106" spans="1:52" ht="16.5" customHeight="1">
      <c r="A106" s="40"/>
      <c r="B106" s="85">
        <v>6</v>
      </c>
      <c r="C106" s="302" t="s">
        <v>2189</v>
      </c>
      <c r="D106" s="86" t="s">
        <v>2155</v>
      </c>
      <c r="E106" s="466" t="s">
        <v>7</v>
      </c>
      <c r="F106" s="469" t="s">
        <v>7</v>
      </c>
      <c r="G106" s="469" t="s">
        <v>7</v>
      </c>
      <c r="H106" s="469">
        <v>0</v>
      </c>
      <c r="I106" s="469" t="s">
        <v>7</v>
      </c>
      <c r="J106" s="437">
        <v>0</v>
      </c>
      <c r="K106" s="469" t="s">
        <v>7</v>
      </c>
      <c r="L106" s="437">
        <v>0</v>
      </c>
      <c r="M106" s="437">
        <v>0</v>
      </c>
      <c r="N106" s="469" t="s">
        <v>7</v>
      </c>
      <c r="O106" s="469" t="s">
        <v>7</v>
      </c>
      <c r="P106" s="437">
        <v>0</v>
      </c>
      <c r="Q106" s="437">
        <v>0</v>
      </c>
      <c r="R106" s="437">
        <v>0</v>
      </c>
      <c r="S106" s="469">
        <v>0</v>
      </c>
      <c r="T106" s="469" t="s">
        <v>7</v>
      </c>
      <c r="U106" s="469" t="s">
        <v>7</v>
      </c>
      <c r="V106" s="469" t="s">
        <v>7</v>
      </c>
      <c r="W106" s="469" t="s">
        <v>7</v>
      </c>
      <c r="X106" s="469">
        <v>0</v>
      </c>
      <c r="Y106" s="469" t="s">
        <v>7</v>
      </c>
      <c r="Z106" s="469" t="s">
        <v>7</v>
      </c>
      <c r="AA106" s="469" t="s">
        <v>7</v>
      </c>
      <c r="AB106" s="230">
        <v>40</v>
      </c>
      <c r="AC106" s="469" t="s">
        <v>7</v>
      </c>
      <c r="AD106" s="437">
        <v>20</v>
      </c>
      <c r="AE106" s="437">
        <v>5</v>
      </c>
      <c r="AF106" s="437">
        <v>0</v>
      </c>
      <c r="AG106" s="469">
        <v>15</v>
      </c>
      <c r="AH106" s="437">
        <v>0</v>
      </c>
      <c r="AI106" s="469">
        <v>0</v>
      </c>
      <c r="AJ106" s="469" t="s">
        <v>7</v>
      </c>
      <c r="AK106" s="469" t="s">
        <v>7</v>
      </c>
      <c r="AL106" s="469" t="s">
        <v>7</v>
      </c>
      <c r="AM106" s="208">
        <f t="shared" si="15"/>
        <v>16</v>
      </c>
      <c r="AN106" s="209">
        <f t="shared" si="16"/>
        <v>5</v>
      </c>
      <c r="AO106" s="210">
        <f t="shared" si="17"/>
        <v>80</v>
      </c>
      <c r="AP106" s="40"/>
      <c r="AR106" s="118"/>
      <c r="AS106" s="120"/>
      <c r="AT106" s="120"/>
      <c r="AU106" s="120"/>
      <c r="AV106" s="120"/>
      <c r="AW106" s="120"/>
      <c r="AX106" s="118"/>
      <c r="AY106" s="118"/>
      <c r="AZ106" s="118"/>
    </row>
    <row r="107" spans="1:52" ht="16.5" customHeight="1">
      <c r="A107" s="40"/>
      <c r="B107" s="85">
        <v>7</v>
      </c>
      <c r="C107" s="302" t="s">
        <v>111</v>
      </c>
      <c r="D107" s="86" t="s">
        <v>2163</v>
      </c>
      <c r="E107" s="466" t="s">
        <v>7</v>
      </c>
      <c r="F107" s="469" t="s">
        <v>7</v>
      </c>
      <c r="G107" s="437">
        <v>10</v>
      </c>
      <c r="H107" s="469" t="s">
        <v>7</v>
      </c>
      <c r="I107" s="437">
        <v>0</v>
      </c>
      <c r="J107" s="437">
        <v>0</v>
      </c>
      <c r="K107" s="469">
        <v>10</v>
      </c>
      <c r="L107" s="469" t="s">
        <v>7</v>
      </c>
      <c r="M107" s="437">
        <v>10</v>
      </c>
      <c r="N107" s="469" t="s">
        <v>7</v>
      </c>
      <c r="O107" s="437">
        <v>0</v>
      </c>
      <c r="P107" s="469" t="s">
        <v>7</v>
      </c>
      <c r="Q107" s="437">
        <v>0</v>
      </c>
      <c r="R107" s="437">
        <v>5</v>
      </c>
      <c r="S107" s="469" t="s">
        <v>7</v>
      </c>
      <c r="T107" s="437">
        <v>0</v>
      </c>
      <c r="U107" s="469" t="s">
        <v>7</v>
      </c>
      <c r="V107" s="469" t="s">
        <v>7</v>
      </c>
      <c r="W107" s="437">
        <v>30</v>
      </c>
      <c r="X107" s="232">
        <v>0</v>
      </c>
      <c r="Y107" s="437">
        <v>10</v>
      </c>
      <c r="Z107" s="437">
        <v>40</v>
      </c>
      <c r="AA107" s="469" t="s">
        <v>7</v>
      </c>
      <c r="AB107" s="469" t="s">
        <v>7</v>
      </c>
      <c r="AC107" s="437">
        <v>5</v>
      </c>
      <c r="AD107" s="437">
        <v>0</v>
      </c>
      <c r="AE107" s="437">
        <v>10</v>
      </c>
      <c r="AF107" s="469" t="s">
        <v>7</v>
      </c>
      <c r="AG107" s="437">
        <v>40</v>
      </c>
      <c r="AH107" s="437">
        <v>5</v>
      </c>
      <c r="AI107" s="208">
        <v>5</v>
      </c>
      <c r="AJ107" s="232">
        <v>40</v>
      </c>
      <c r="AK107" s="208">
        <v>40</v>
      </c>
      <c r="AL107" s="476" t="s">
        <v>7</v>
      </c>
      <c r="AM107" s="208">
        <f t="shared" si="15"/>
        <v>21</v>
      </c>
      <c r="AN107" s="209">
        <f t="shared" si="16"/>
        <v>12.380952380952381</v>
      </c>
      <c r="AO107" s="210">
        <f t="shared" si="17"/>
        <v>260</v>
      </c>
      <c r="AP107" s="40"/>
      <c r="AR107" s="118"/>
      <c r="AS107" s="120"/>
      <c r="AT107" s="120"/>
      <c r="AU107" s="120"/>
      <c r="AV107" s="120"/>
      <c r="AW107" s="120"/>
      <c r="AX107" s="118"/>
      <c r="AY107" s="118"/>
      <c r="AZ107" s="118"/>
    </row>
    <row r="108" spans="1:52" ht="16.5" customHeight="1">
      <c r="A108" s="40"/>
      <c r="B108" s="85">
        <v>8</v>
      </c>
      <c r="C108" s="302" t="s">
        <v>124</v>
      </c>
      <c r="D108" s="86" t="s">
        <v>2174</v>
      </c>
      <c r="E108" s="436">
        <v>50</v>
      </c>
      <c r="F108" s="469" t="s">
        <v>7</v>
      </c>
      <c r="G108" s="437">
        <v>0</v>
      </c>
      <c r="H108" s="437">
        <v>5</v>
      </c>
      <c r="I108" s="437">
        <v>5</v>
      </c>
      <c r="J108" s="469" t="s">
        <v>7</v>
      </c>
      <c r="K108" s="469" t="s">
        <v>7</v>
      </c>
      <c r="L108" s="469" t="s">
        <v>7</v>
      </c>
      <c r="M108" s="469">
        <v>0</v>
      </c>
      <c r="N108" s="469" t="s">
        <v>7</v>
      </c>
      <c r="O108" s="469">
        <v>0</v>
      </c>
      <c r="P108" s="437">
        <v>0</v>
      </c>
      <c r="Q108" s="469">
        <v>0</v>
      </c>
      <c r="R108" s="469" t="s">
        <v>7</v>
      </c>
      <c r="S108" s="469">
        <v>0</v>
      </c>
      <c r="T108" s="469" t="s">
        <v>7</v>
      </c>
      <c r="U108" s="469" t="s">
        <v>7</v>
      </c>
      <c r="V108" s="437">
        <v>15</v>
      </c>
      <c r="W108" s="469" t="s">
        <v>7</v>
      </c>
      <c r="X108" s="230">
        <v>80</v>
      </c>
      <c r="Y108" s="437">
        <v>0</v>
      </c>
      <c r="Z108" s="469">
        <v>10</v>
      </c>
      <c r="AA108" s="469" t="s">
        <v>7</v>
      </c>
      <c r="AB108" s="437">
        <v>15</v>
      </c>
      <c r="AC108" s="469">
        <v>5</v>
      </c>
      <c r="AD108" s="469" t="s">
        <v>7</v>
      </c>
      <c r="AE108" s="469" t="s">
        <v>7</v>
      </c>
      <c r="AF108" s="437">
        <v>5</v>
      </c>
      <c r="AG108" s="469">
        <v>0</v>
      </c>
      <c r="AH108" s="437">
        <v>5</v>
      </c>
      <c r="AI108" s="469" t="s">
        <v>7</v>
      </c>
      <c r="AJ108" s="469">
        <v>30</v>
      </c>
      <c r="AK108" s="469">
        <v>10</v>
      </c>
      <c r="AL108" s="469" t="s">
        <v>7</v>
      </c>
      <c r="AM108" s="208">
        <f t="shared" si="15"/>
        <v>20</v>
      </c>
      <c r="AN108" s="209">
        <f t="shared" si="16"/>
        <v>11.75</v>
      </c>
      <c r="AO108" s="210">
        <f t="shared" si="17"/>
        <v>235</v>
      </c>
      <c r="AP108" s="40"/>
      <c r="AR108" s="118"/>
      <c r="AS108" s="120"/>
      <c r="AT108" s="120"/>
      <c r="AU108" s="120"/>
      <c r="AV108" s="120"/>
      <c r="AW108" s="120"/>
      <c r="AX108" s="118"/>
      <c r="AY108" s="118"/>
      <c r="AZ108" s="118"/>
    </row>
    <row r="109" spans="1:52" ht="16.5" customHeight="1">
      <c r="A109" s="40"/>
      <c r="B109" s="85">
        <v>9</v>
      </c>
      <c r="C109" s="302" t="s">
        <v>111</v>
      </c>
      <c r="D109" s="86" t="s">
        <v>2182</v>
      </c>
      <c r="E109" s="466" t="s">
        <v>7</v>
      </c>
      <c r="F109" s="437">
        <v>0</v>
      </c>
      <c r="G109" s="437">
        <v>0</v>
      </c>
      <c r="H109" s="469">
        <v>0</v>
      </c>
      <c r="I109" s="469" t="s">
        <v>7</v>
      </c>
      <c r="J109" s="437">
        <v>0</v>
      </c>
      <c r="K109" s="469" t="s">
        <v>7</v>
      </c>
      <c r="L109" s="437">
        <v>10</v>
      </c>
      <c r="M109" s="437">
        <v>30</v>
      </c>
      <c r="N109" s="469">
        <v>5</v>
      </c>
      <c r="O109" s="469">
        <v>15</v>
      </c>
      <c r="P109" s="437">
        <v>0</v>
      </c>
      <c r="Q109" s="469">
        <v>0</v>
      </c>
      <c r="R109" s="469">
        <v>0</v>
      </c>
      <c r="S109" s="469" t="s">
        <v>7</v>
      </c>
      <c r="T109" s="469" t="s">
        <v>7</v>
      </c>
      <c r="U109" s="469" t="s">
        <v>7</v>
      </c>
      <c r="V109" s="437">
        <v>15</v>
      </c>
      <c r="W109" s="469" t="s">
        <v>7</v>
      </c>
      <c r="X109" s="469">
        <v>0</v>
      </c>
      <c r="Y109" s="437">
        <v>0</v>
      </c>
      <c r="Z109" s="469" t="s">
        <v>7</v>
      </c>
      <c r="AA109" s="437">
        <v>5</v>
      </c>
      <c r="AB109" s="469" t="s">
        <v>7</v>
      </c>
      <c r="AC109" s="469" t="s">
        <v>7</v>
      </c>
      <c r="AD109" s="469">
        <v>0</v>
      </c>
      <c r="AE109" s="437">
        <v>0</v>
      </c>
      <c r="AF109" s="437">
        <v>0</v>
      </c>
      <c r="AG109" s="469" t="s">
        <v>7</v>
      </c>
      <c r="AH109" s="437">
        <v>0</v>
      </c>
      <c r="AI109" s="208">
        <v>5</v>
      </c>
      <c r="AJ109" s="476" t="s">
        <v>7</v>
      </c>
      <c r="AK109" s="476" t="s">
        <v>7</v>
      </c>
      <c r="AL109" s="476" t="s">
        <v>7</v>
      </c>
      <c r="AM109" s="208">
        <f t="shared" si="15"/>
        <v>20</v>
      </c>
      <c r="AN109" s="209">
        <f t="shared" si="16"/>
        <v>4.25</v>
      </c>
      <c r="AO109" s="210">
        <f t="shared" si="17"/>
        <v>85</v>
      </c>
      <c r="AP109" s="40"/>
      <c r="AR109" s="118"/>
      <c r="AS109" s="120"/>
      <c r="AT109" s="120"/>
      <c r="AU109" s="120"/>
      <c r="AV109" s="120"/>
      <c r="AW109" s="120"/>
      <c r="AX109" s="118"/>
      <c r="AY109" s="118"/>
      <c r="AZ109" s="118"/>
    </row>
    <row r="110" spans="1:52" ht="16.5" customHeight="1">
      <c r="A110" s="40"/>
      <c r="B110" s="85">
        <v>10</v>
      </c>
      <c r="C110" s="302" t="s">
        <v>129</v>
      </c>
      <c r="D110" s="86" t="s">
        <v>2186</v>
      </c>
      <c r="E110" s="466" t="s">
        <v>7</v>
      </c>
      <c r="F110" s="469" t="s">
        <v>7</v>
      </c>
      <c r="G110" s="437">
        <v>5</v>
      </c>
      <c r="H110" s="469">
        <v>0</v>
      </c>
      <c r="I110" s="469" t="s">
        <v>7</v>
      </c>
      <c r="J110" s="469">
        <v>0</v>
      </c>
      <c r="K110" s="469" t="s">
        <v>7</v>
      </c>
      <c r="L110" s="437">
        <v>0</v>
      </c>
      <c r="M110" s="437">
        <v>10</v>
      </c>
      <c r="N110" s="469" t="s">
        <v>7</v>
      </c>
      <c r="O110" s="469" t="s">
        <v>7</v>
      </c>
      <c r="P110" s="437">
        <v>10</v>
      </c>
      <c r="Q110" s="437">
        <v>10</v>
      </c>
      <c r="R110" s="469">
        <v>0</v>
      </c>
      <c r="S110" s="469" t="s">
        <v>7</v>
      </c>
      <c r="T110" s="469" t="s">
        <v>7</v>
      </c>
      <c r="U110" s="469" t="s">
        <v>7</v>
      </c>
      <c r="V110" s="437">
        <v>0</v>
      </c>
      <c r="W110" s="469" t="s">
        <v>7</v>
      </c>
      <c r="X110" s="469">
        <v>0</v>
      </c>
      <c r="Y110" s="437">
        <v>0</v>
      </c>
      <c r="Z110" s="469" t="s">
        <v>7</v>
      </c>
      <c r="AA110" s="437">
        <v>30</v>
      </c>
      <c r="AB110" s="230">
        <v>20</v>
      </c>
      <c r="AC110" s="469" t="s">
        <v>7</v>
      </c>
      <c r="AD110" s="469">
        <v>0</v>
      </c>
      <c r="AE110" s="437">
        <v>0</v>
      </c>
      <c r="AF110" s="437">
        <v>5</v>
      </c>
      <c r="AG110" s="469" t="s">
        <v>7</v>
      </c>
      <c r="AH110" s="437">
        <v>5</v>
      </c>
      <c r="AI110" s="437">
        <v>5</v>
      </c>
      <c r="AJ110" s="469" t="s">
        <v>7</v>
      </c>
      <c r="AK110" s="469" t="s">
        <v>7</v>
      </c>
      <c r="AL110" s="469" t="s">
        <v>7</v>
      </c>
      <c r="AM110" s="208">
        <f t="shared" si="15"/>
        <v>18</v>
      </c>
      <c r="AN110" s="209">
        <f t="shared" si="16"/>
        <v>5.5555555555555554</v>
      </c>
      <c r="AO110" s="210">
        <f t="shared" si="17"/>
        <v>100</v>
      </c>
      <c r="AP110" s="40"/>
      <c r="AR110" s="118"/>
      <c r="AS110" s="120"/>
      <c r="AT110" s="120"/>
      <c r="AU110" s="120"/>
      <c r="AV110" s="120"/>
      <c r="AW110" s="120"/>
      <c r="AX110" s="118"/>
      <c r="AY110" s="118"/>
      <c r="AZ110" s="118"/>
    </row>
    <row r="111" spans="1:52" ht="16.5" customHeight="1">
      <c r="A111" s="40"/>
      <c r="B111" s="363" t="s">
        <v>1979</v>
      </c>
      <c r="C111" s="364" t="s">
        <v>119</v>
      </c>
      <c r="D111" s="365" t="s">
        <v>2071</v>
      </c>
      <c r="E111" s="466" t="s">
        <v>7</v>
      </c>
      <c r="F111" s="469" t="s">
        <v>7</v>
      </c>
      <c r="G111" s="469" t="s">
        <v>7</v>
      </c>
      <c r="H111" s="469" t="s">
        <v>7</v>
      </c>
      <c r="I111" s="469" t="s">
        <v>7</v>
      </c>
      <c r="J111" s="469" t="s">
        <v>7</v>
      </c>
      <c r="K111" s="469" t="s">
        <v>7</v>
      </c>
      <c r="L111" s="469" t="s">
        <v>7</v>
      </c>
      <c r="M111" s="469" t="s">
        <v>7</v>
      </c>
      <c r="N111" s="469" t="s">
        <v>7</v>
      </c>
      <c r="O111" s="469" t="s">
        <v>7</v>
      </c>
      <c r="P111" s="469" t="s">
        <v>7</v>
      </c>
      <c r="Q111" s="469" t="s">
        <v>7</v>
      </c>
      <c r="R111" s="469" t="s">
        <v>7</v>
      </c>
      <c r="S111" s="469" t="s">
        <v>7</v>
      </c>
      <c r="T111" s="469" t="s">
        <v>7</v>
      </c>
      <c r="U111" s="469" t="s">
        <v>7</v>
      </c>
      <c r="V111" s="469" t="s">
        <v>7</v>
      </c>
      <c r="W111" s="469" t="s">
        <v>7</v>
      </c>
      <c r="X111" s="469" t="s">
        <v>7</v>
      </c>
      <c r="Y111" s="469" t="s">
        <v>7</v>
      </c>
      <c r="Z111" s="469" t="s">
        <v>7</v>
      </c>
      <c r="AA111" s="469" t="s">
        <v>7</v>
      </c>
      <c r="AB111" s="469" t="s">
        <v>7</v>
      </c>
      <c r="AC111" s="469" t="s">
        <v>7</v>
      </c>
      <c r="AD111" s="469" t="s">
        <v>7</v>
      </c>
      <c r="AE111" s="469" t="s">
        <v>7</v>
      </c>
      <c r="AF111" s="469" t="s">
        <v>7</v>
      </c>
      <c r="AG111" s="469" t="s">
        <v>7</v>
      </c>
      <c r="AH111" s="469" t="s">
        <v>7</v>
      </c>
      <c r="AI111" s="476" t="s">
        <v>7</v>
      </c>
      <c r="AJ111" s="476" t="s">
        <v>7</v>
      </c>
      <c r="AK111" s="476" t="s">
        <v>7</v>
      </c>
      <c r="AL111" s="476" t="s">
        <v>7</v>
      </c>
      <c r="AM111" s="208">
        <f t="shared" si="15"/>
        <v>0</v>
      </c>
      <c r="AN111" s="209">
        <f t="shared" si="16"/>
        <v>0</v>
      </c>
      <c r="AO111" s="210">
        <f t="shared" si="17"/>
        <v>0</v>
      </c>
      <c r="AP111" s="40"/>
      <c r="AR111" s="118"/>
      <c r="AS111" s="120"/>
      <c r="AT111" s="120"/>
      <c r="AU111" s="120"/>
      <c r="AV111" s="120"/>
      <c r="AW111" s="120"/>
      <c r="AX111" s="118"/>
      <c r="AY111" s="118"/>
      <c r="AZ111" s="118"/>
    </row>
    <row r="112" spans="1:52" ht="16.5" customHeight="1" thickBot="1">
      <c r="A112" s="40"/>
      <c r="B112" s="362" t="s">
        <v>1979</v>
      </c>
      <c r="C112" s="361" t="s">
        <v>114</v>
      </c>
      <c r="D112" s="360" t="s">
        <v>2105</v>
      </c>
      <c r="E112" s="466" t="s">
        <v>7</v>
      </c>
      <c r="F112" s="469" t="s">
        <v>7</v>
      </c>
      <c r="G112" s="469" t="s">
        <v>7</v>
      </c>
      <c r="H112" s="469" t="s">
        <v>7</v>
      </c>
      <c r="I112" s="469" t="s">
        <v>7</v>
      </c>
      <c r="J112" s="469" t="s">
        <v>7</v>
      </c>
      <c r="K112" s="469" t="s">
        <v>7</v>
      </c>
      <c r="L112" s="469" t="s">
        <v>7</v>
      </c>
      <c r="M112" s="469" t="s">
        <v>7</v>
      </c>
      <c r="N112" s="469" t="s">
        <v>7</v>
      </c>
      <c r="O112" s="469" t="s">
        <v>7</v>
      </c>
      <c r="P112" s="469" t="s">
        <v>7</v>
      </c>
      <c r="Q112" s="469" t="s">
        <v>7</v>
      </c>
      <c r="R112" s="469" t="s">
        <v>7</v>
      </c>
      <c r="S112" s="469" t="s">
        <v>7</v>
      </c>
      <c r="T112" s="469" t="s">
        <v>7</v>
      </c>
      <c r="U112" s="469" t="s">
        <v>7</v>
      </c>
      <c r="V112" s="469" t="s">
        <v>7</v>
      </c>
      <c r="W112" s="469" t="s">
        <v>7</v>
      </c>
      <c r="X112" s="469" t="s">
        <v>7</v>
      </c>
      <c r="Y112" s="469" t="s">
        <v>7</v>
      </c>
      <c r="Z112" s="469" t="s">
        <v>7</v>
      </c>
      <c r="AA112" s="469" t="s">
        <v>7</v>
      </c>
      <c r="AB112" s="469" t="s">
        <v>7</v>
      </c>
      <c r="AC112" s="469" t="s">
        <v>7</v>
      </c>
      <c r="AD112" s="469" t="s">
        <v>7</v>
      </c>
      <c r="AE112" s="469" t="s">
        <v>7</v>
      </c>
      <c r="AF112" s="469" t="s">
        <v>7</v>
      </c>
      <c r="AG112" s="469" t="s">
        <v>7</v>
      </c>
      <c r="AH112" s="469" t="s">
        <v>7</v>
      </c>
      <c r="AI112" s="469" t="s">
        <v>7</v>
      </c>
      <c r="AJ112" s="469" t="s">
        <v>7</v>
      </c>
      <c r="AK112" s="469" t="s">
        <v>7</v>
      </c>
      <c r="AL112" s="469" t="s">
        <v>7</v>
      </c>
      <c r="AM112" s="211">
        <f t="shared" si="15"/>
        <v>0</v>
      </c>
      <c r="AN112" s="212">
        <f t="shared" si="16"/>
        <v>0</v>
      </c>
      <c r="AO112" s="210">
        <f t="shared" si="17"/>
        <v>0</v>
      </c>
      <c r="AP112" s="40"/>
      <c r="AR112" s="118"/>
      <c r="AS112" s="120"/>
      <c r="AT112" s="120"/>
      <c r="AU112" s="120"/>
      <c r="AV112" s="120"/>
      <c r="AW112" s="120"/>
      <c r="AX112" s="118"/>
      <c r="AY112" s="118"/>
      <c r="AZ112" s="118"/>
    </row>
    <row r="113" spans="1:52" ht="19.5" customHeight="1">
      <c r="A113" s="40"/>
      <c r="B113" s="588" t="s">
        <v>24</v>
      </c>
      <c r="C113" s="589"/>
      <c r="D113" s="590"/>
      <c r="E113" s="213">
        <v>1</v>
      </c>
      <c r="F113" s="214">
        <v>0</v>
      </c>
      <c r="G113" s="214">
        <v>0</v>
      </c>
      <c r="H113" s="214">
        <v>0</v>
      </c>
      <c r="I113" s="214">
        <v>0</v>
      </c>
      <c r="J113" s="214">
        <v>0</v>
      </c>
      <c r="K113" s="214">
        <v>0</v>
      </c>
      <c r="L113" s="214">
        <v>0</v>
      </c>
      <c r="M113" s="214">
        <v>0</v>
      </c>
      <c r="N113" s="214">
        <v>0</v>
      </c>
      <c r="O113" s="214">
        <v>0</v>
      </c>
      <c r="P113" s="214">
        <v>0</v>
      </c>
      <c r="Q113" s="214">
        <v>1</v>
      </c>
      <c r="R113" s="214">
        <v>0</v>
      </c>
      <c r="S113" s="214">
        <v>0</v>
      </c>
      <c r="T113" s="214">
        <v>0</v>
      </c>
      <c r="U113" s="214">
        <v>0</v>
      </c>
      <c r="V113" s="214">
        <v>0</v>
      </c>
      <c r="W113" s="214">
        <v>0</v>
      </c>
      <c r="X113" s="214">
        <v>0</v>
      </c>
      <c r="Y113" s="214">
        <v>0</v>
      </c>
      <c r="Z113" s="214">
        <v>0</v>
      </c>
      <c r="AA113" s="214">
        <v>0</v>
      </c>
      <c r="AB113" s="214">
        <v>0</v>
      </c>
      <c r="AC113" s="214">
        <v>1</v>
      </c>
      <c r="AD113" s="214">
        <v>0</v>
      </c>
      <c r="AE113" s="214">
        <v>0</v>
      </c>
      <c r="AF113" s="214">
        <v>0</v>
      </c>
      <c r="AG113" s="214">
        <v>0</v>
      </c>
      <c r="AH113" s="214">
        <v>0</v>
      </c>
      <c r="AI113" s="214">
        <v>0</v>
      </c>
      <c r="AJ113" s="215">
        <v>1</v>
      </c>
      <c r="AK113" s="215">
        <v>0</v>
      </c>
      <c r="AL113" s="215">
        <v>0</v>
      </c>
      <c r="AM113" s="216" t="s">
        <v>7</v>
      </c>
      <c r="AN113" s="217">
        <f t="shared" si="16"/>
        <v>0.11764705882352941</v>
      </c>
      <c r="AO113" s="218">
        <f t="shared" si="17"/>
        <v>4</v>
      </c>
      <c r="AP113" s="40"/>
      <c r="AR113" s="118"/>
      <c r="AS113" s="120"/>
      <c r="AT113" s="120"/>
      <c r="AU113" s="120"/>
      <c r="AV113" s="120"/>
      <c r="AW113" s="120"/>
      <c r="AX113" s="118"/>
      <c r="AY113" s="118"/>
      <c r="AZ113" s="118"/>
    </row>
    <row r="114" spans="1:52" ht="19.5" customHeight="1">
      <c r="A114" s="40"/>
      <c r="B114" s="598" t="s">
        <v>25</v>
      </c>
      <c r="C114" s="599"/>
      <c r="D114" s="600"/>
      <c r="E114" s="219">
        <v>2</v>
      </c>
      <c r="F114" s="219">
        <v>1</v>
      </c>
      <c r="G114" s="219">
        <v>1</v>
      </c>
      <c r="H114" s="219">
        <v>0</v>
      </c>
      <c r="I114" s="219">
        <v>1</v>
      </c>
      <c r="J114" s="219">
        <v>0</v>
      </c>
      <c r="K114" s="219">
        <v>0</v>
      </c>
      <c r="L114" s="219">
        <v>0</v>
      </c>
      <c r="M114" s="219">
        <v>1</v>
      </c>
      <c r="N114" s="219">
        <v>3</v>
      </c>
      <c r="O114" s="219">
        <v>0</v>
      </c>
      <c r="P114" s="219">
        <v>0</v>
      </c>
      <c r="Q114" s="219">
        <v>1</v>
      </c>
      <c r="R114" s="219">
        <v>0</v>
      </c>
      <c r="S114" s="219">
        <v>2</v>
      </c>
      <c r="T114" s="219">
        <v>0</v>
      </c>
      <c r="U114" s="219">
        <v>0</v>
      </c>
      <c r="V114" s="219">
        <v>0</v>
      </c>
      <c r="W114" s="219">
        <v>0</v>
      </c>
      <c r="X114" s="219">
        <v>2</v>
      </c>
      <c r="Y114" s="219">
        <v>0</v>
      </c>
      <c r="Z114" s="219">
        <v>2</v>
      </c>
      <c r="AA114" s="219">
        <v>1</v>
      </c>
      <c r="AB114" s="219">
        <v>0</v>
      </c>
      <c r="AC114" s="219">
        <v>2</v>
      </c>
      <c r="AD114" s="219">
        <v>1</v>
      </c>
      <c r="AE114" s="219">
        <v>0</v>
      </c>
      <c r="AF114" s="219">
        <v>1</v>
      </c>
      <c r="AG114" s="219">
        <v>0</v>
      </c>
      <c r="AH114" s="219">
        <v>0</v>
      </c>
      <c r="AI114" s="219">
        <v>0</v>
      </c>
      <c r="AJ114" s="220">
        <v>2</v>
      </c>
      <c r="AK114" s="220">
        <v>1</v>
      </c>
      <c r="AL114" s="220">
        <v>1</v>
      </c>
      <c r="AM114" s="220" t="s">
        <v>7</v>
      </c>
      <c r="AN114" s="221">
        <f t="shared" si="16"/>
        <v>0.73529411764705888</v>
      </c>
      <c r="AO114" s="222">
        <f t="shared" si="17"/>
        <v>25</v>
      </c>
      <c r="AP114" s="40"/>
      <c r="AR114" s="118"/>
      <c r="AS114" s="118">
        <f>AS115/16</f>
        <v>30</v>
      </c>
      <c r="AT114" s="118">
        <f>AT115/7</f>
        <v>97.142857142857139</v>
      </c>
      <c r="AU114" s="118">
        <f>AU115/7</f>
        <v>95</v>
      </c>
      <c r="AV114" s="118">
        <f>AV115/5</f>
        <v>120</v>
      </c>
      <c r="AW114" s="120"/>
      <c r="AX114" s="118"/>
      <c r="AY114" s="118"/>
      <c r="AZ114" s="118"/>
    </row>
    <row r="115" spans="1:52" ht="21" customHeight="1" thickBot="1">
      <c r="A115" s="40"/>
      <c r="B115" s="595" t="s">
        <v>26</v>
      </c>
      <c r="C115" s="596"/>
      <c r="D115" s="597"/>
      <c r="E115" s="53">
        <v>200</v>
      </c>
      <c r="F115" s="53">
        <v>30</v>
      </c>
      <c r="G115" s="53">
        <v>50</v>
      </c>
      <c r="H115" s="53">
        <v>30</v>
      </c>
      <c r="I115" s="53">
        <v>90</v>
      </c>
      <c r="J115" s="53">
        <v>25</v>
      </c>
      <c r="K115" s="53">
        <v>60</v>
      </c>
      <c r="L115" s="53">
        <v>10</v>
      </c>
      <c r="M115" s="53">
        <v>65</v>
      </c>
      <c r="N115" s="53">
        <v>110</v>
      </c>
      <c r="O115" s="53">
        <v>30</v>
      </c>
      <c r="P115" s="53">
        <v>10</v>
      </c>
      <c r="Q115" s="53">
        <v>90</v>
      </c>
      <c r="R115" s="53">
        <v>15</v>
      </c>
      <c r="S115" s="53">
        <v>255</v>
      </c>
      <c r="T115" s="53">
        <v>20</v>
      </c>
      <c r="U115" s="53">
        <v>0</v>
      </c>
      <c r="V115" s="53">
        <v>30</v>
      </c>
      <c r="W115" s="53">
        <v>55</v>
      </c>
      <c r="X115" s="53">
        <v>140</v>
      </c>
      <c r="Y115" s="53">
        <v>15</v>
      </c>
      <c r="Z115" s="53">
        <v>110</v>
      </c>
      <c r="AA115" s="53">
        <v>35</v>
      </c>
      <c r="AB115" s="53">
        <v>110</v>
      </c>
      <c r="AC115" s="53">
        <v>185</v>
      </c>
      <c r="AD115" s="53">
        <v>55</v>
      </c>
      <c r="AE115" s="53">
        <v>15</v>
      </c>
      <c r="AF115" s="53">
        <v>40</v>
      </c>
      <c r="AG115" s="53">
        <v>95</v>
      </c>
      <c r="AH115" s="53">
        <v>15</v>
      </c>
      <c r="AI115" s="53">
        <v>25</v>
      </c>
      <c r="AJ115" s="54">
        <v>215</v>
      </c>
      <c r="AK115" s="54">
        <v>90</v>
      </c>
      <c r="AL115" s="53">
        <v>105</v>
      </c>
      <c r="AM115" s="55" t="s">
        <v>7</v>
      </c>
      <c r="AN115" s="223">
        <f t="shared" si="16"/>
        <v>71.32352941176471</v>
      </c>
      <c r="AO115" s="56">
        <f t="shared" si="17"/>
        <v>2425</v>
      </c>
      <c r="AP115" s="40"/>
      <c r="AR115" s="118"/>
      <c r="AS115" s="120">
        <f>SUM(F115:H115,J115,L115,M115,P115,Q115,R115,U115,V115,Y115,AD115,AE115,AH115,AI115)</f>
        <v>480</v>
      </c>
      <c r="AT115" s="120">
        <f>SUM(E115,I115,N115,T115,AA115,AC115,AF115)</f>
        <v>680</v>
      </c>
      <c r="AU115" s="120">
        <f>SUM(K115,O115,W115,Z115,AJ115,AK115,AL115)</f>
        <v>665</v>
      </c>
      <c r="AV115" s="120">
        <f>SUM(S115,X115,AB115,AG115)</f>
        <v>600</v>
      </c>
      <c r="AW115" s="120"/>
      <c r="AX115" s="118"/>
      <c r="AY115" s="118"/>
      <c r="AZ115" s="118"/>
    </row>
    <row r="116" spans="1:52" ht="12.75" customHeight="1" thickBot="1">
      <c r="A116" s="40"/>
      <c r="B116" s="57"/>
      <c r="C116" s="291"/>
      <c r="D116" s="58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60"/>
      <c r="AO116" s="61"/>
      <c r="AP116" s="40"/>
      <c r="AR116" s="118"/>
      <c r="AS116" s="120"/>
      <c r="AT116" s="120"/>
      <c r="AU116" s="120"/>
      <c r="AV116" s="120"/>
      <c r="AW116" s="120"/>
      <c r="AX116" s="118"/>
      <c r="AY116" s="118"/>
      <c r="AZ116" s="118"/>
    </row>
    <row r="117" spans="1:52" ht="26.25" customHeight="1" thickBot="1">
      <c r="A117" s="40"/>
      <c r="B117" s="708" t="s">
        <v>9</v>
      </c>
      <c r="C117" s="709"/>
      <c r="D117" s="709"/>
      <c r="E117" s="236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37"/>
      <c r="S117" s="237"/>
      <c r="T117" s="237"/>
      <c r="U117" s="237"/>
      <c r="V117" s="237"/>
      <c r="W117" s="237"/>
      <c r="X117" s="237"/>
      <c r="Y117" s="237"/>
      <c r="Z117" s="238"/>
      <c r="AA117" s="238"/>
      <c r="AB117" s="238"/>
      <c r="AC117" s="238"/>
      <c r="AD117" s="238"/>
      <c r="AE117" s="238"/>
      <c r="AF117" s="238"/>
      <c r="AG117" s="238"/>
      <c r="AH117" s="238"/>
      <c r="AI117" s="226">
        <v>0</v>
      </c>
      <c r="AJ117" s="227">
        <v>0</v>
      </c>
      <c r="AK117" s="228">
        <v>0</v>
      </c>
      <c r="AL117" s="233">
        <v>10</v>
      </c>
      <c r="AM117" s="645" t="s">
        <v>2017</v>
      </c>
      <c r="AN117" s="646"/>
      <c r="AO117" s="647"/>
      <c r="AP117" s="40"/>
      <c r="AR117" s="121"/>
      <c r="AS117" s="121"/>
      <c r="AT117" s="121"/>
      <c r="AU117" s="121"/>
      <c r="AV117" s="121"/>
      <c r="AW117" s="121"/>
      <c r="AX117" s="121"/>
      <c r="AY117" s="118"/>
      <c r="AZ117" s="118"/>
    </row>
    <row r="118" spans="1:52" ht="13.5" customHeight="1">
      <c r="A118" s="40"/>
      <c r="B118" s="700" t="s">
        <v>16</v>
      </c>
      <c r="C118" s="701"/>
      <c r="D118" s="702"/>
      <c r="E118" s="243">
        <v>1</v>
      </c>
      <c r="F118" s="243">
        <v>2</v>
      </c>
      <c r="G118" s="243">
        <v>3</v>
      </c>
      <c r="H118" s="243">
        <v>4</v>
      </c>
      <c r="I118" s="243">
        <v>5</v>
      </c>
      <c r="J118" s="243">
        <v>6</v>
      </c>
      <c r="K118" s="243">
        <v>7</v>
      </c>
      <c r="L118" s="243">
        <v>8</v>
      </c>
      <c r="M118" s="243">
        <v>9</v>
      </c>
      <c r="N118" s="243">
        <v>10</v>
      </c>
      <c r="O118" s="243">
        <v>11</v>
      </c>
      <c r="P118" s="243">
        <v>12</v>
      </c>
      <c r="Q118" s="243">
        <v>13</v>
      </c>
      <c r="R118" s="243">
        <v>14</v>
      </c>
      <c r="S118" s="243">
        <v>15</v>
      </c>
      <c r="T118" s="243">
        <v>16</v>
      </c>
      <c r="U118" s="243">
        <v>17</v>
      </c>
      <c r="V118" s="244">
        <v>18</v>
      </c>
      <c r="W118" s="244">
        <v>19</v>
      </c>
      <c r="X118" s="244">
        <v>20</v>
      </c>
      <c r="Y118" s="244">
        <v>21</v>
      </c>
      <c r="Z118" s="244">
        <v>22</v>
      </c>
      <c r="AA118" s="244">
        <v>23</v>
      </c>
      <c r="AB118" s="244">
        <v>24</v>
      </c>
      <c r="AC118" s="244">
        <v>25</v>
      </c>
      <c r="AD118" s="244">
        <v>26</v>
      </c>
      <c r="AE118" s="244">
        <v>27</v>
      </c>
      <c r="AF118" s="244">
        <v>28</v>
      </c>
      <c r="AG118" s="244">
        <v>29</v>
      </c>
      <c r="AH118" s="244">
        <v>30</v>
      </c>
      <c r="AI118" s="244">
        <v>31</v>
      </c>
      <c r="AJ118" s="244">
        <v>32</v>
      </c>
      <c r="AK118" s="244">
        <v>33</v>
      </c>
      <c r="AL118" s="244">
        <v>34</v>
      </c>
      <c r="AM118" s="719" t="s">
        <v>17</v>
      </c>
      <c r="AN118" s="662" t="s">
        <v>18</v>
      </c>
      <c r="AO118" s="706" t="s">
        <v>19</v>
      </c>
      <c r="AP118" s="40"/>
      <c r="AR118" s="118"/>
      <c r="AS118" s="120"/>
      <c r="AT118" s="120"/>
      <c r="AU118" s="120"/>
      <c r="AV118" s="120"/>
      <c r="AW118" s="120"/>
      <c r="AX118" s="118"/>
      <c r="AY118" s="118"/>
      <c r="AZ118" s="118"/>
    </row>
    <row r="119" spans="1:52" ht="13.5" customHeight="1" thickBot="1">
      <c r="A119" s="40"/>
      <c r="B119" s="703"/>
      <c r="C119" s="704"/>
      <c r="D119" s="705"/>
      <c r="E119" s="245" t="s">
        <v>21</v>
      </c>
      <c r="F119" s="245" t="s">
        <v>20</v>
      </c>
      <c r="G119" s="245" t="s">
        <v>20</v>
      </c>
      <c r="H119" s="245" t="s">
        <v>20</v>
      </c>
      <c r="I119" s="245" t="s">
        <v>21</v>
      </c>
      <c r="J119" s="245" t="s">
        <v>20</v>
      </c>
      <c r="K119" s="245" t="s">
        <v>22</v>
      </c>
      <c r="L119" s="245" t="s">
        <v>20</v>
      </c>
      <c r="M119" s="245" t="s">
        <v>20</v>
      </c>
      <c r="N119" s="245" t="s">
        <v>21</v>
      </c>
      <c r="O119" s="245" t="s">
        <v>22</v>
      </c>
      <c r="P119" s="245" t="s">
        <v>20</v>
      </c>
      <c r="Q119" s="245" t="s">
        <v>20</v>
      </c>
      <c r="R119" s="245" t="s">
        <v>20</v>
      </c>
      <c r="S119" s="245" t="s">
        <v>23</v>
      </c>
      <c r="T119" s="245" t="s">
        <v>21</v>
      </c>
      <c r="U119" s="245" t="s">
        <v>20</v>
      </c>
      <c r="V119" s="245" t="s">
        <v>20</v>
      </c>
      <c r="W119" s="245" t="s">
        <v>22</v>
      </c>
      <c r="X119" s="245" t="s">
        <v>23</v>
      </c>
      <c r="Y119" s="245" t="s">
        <v>20</v>
      </c>
      <c r="Z119" s="245" t="s">
        <v>22</v>
      </c>
      <c r="AA119" s="245" t="s">
        <v>21</v>
      </c>
      <c r="AB119" s="245" t="s">
        <v>23</v>
      </c>
      <c r="AC119" s="245" t="s">
        <v>21</v>
      </c>
      <c r="AD119" s="245" t="s">
        <v>20</v>
      </c>
      <c r="AE119" s="245" t="s">
        <v>20</v>
      </c>
      <c r="AF119" s="245" t="s">
        <v>21</v>
      </c>
      <c r="AG119" s="245" t="s">
        <v>23</v>
      </c>
      <c r="AH119" s="245" t="s">
        <v>20</v>
      </c>
      <c r="AI119" s="245" t="s">
        <v>20</v>
      </c>
      <c r="AJ119" s="245" t="s">
        <v>22</v>
      </c>
      <c r="AK119" s="245" t="s">
        <v>22</v>
      </c>
      <c r="AL119" s="245" t="s">
        <v>22</v>
      </c>
      <c r="AM119" s="720"/>
      <c r="AN119" s="663"/>
      <c r="AO119" s="707"/>
      <c r="AP119" s="40"/>
      <c r="AR119" s="118"/>
      <c r="AS119" s="120"/>
      <c r="AT119" s="120"/>
      <c r="AU119" s="120"/>
      <c r="AV119" s="120"/>
      <c r="AW119" s="120"/>
      <c r="AX119" s="118"/>
      <c r="AY119" s="118"/>
      <c r="AZ119" s="118"/>
    </row>
    <row r="120" spans="1:52" ht="16.5" customHeight="1">
      <c r="A120" s="40"/>
      <c r="B120" s="239">
        <v>1</v>
      </c>
      <c r="C120" s="299" t="s">
        <v>111</v>
      </c>
      <c r="D120" s="240" t="s">
        <v>2086</v>
      </c>
      <c r="E120" s="466" t="s">
        <v>7</v>
      </c>
      <c r="F120" s="469" t="s">
        <v>7</v>
      </c>
      <c r="G120" s="469" t="s">
        <v>7</v>
      </c>
      <c r="H120" s="469" t="s">
        <v>7</v>
      </c>
      <c r="I120" s="437">
        <v>0</v>
      </c>
      <c r="J120" s="437">
        <v>30</v>
      </c>
      <c r="K120" s="469">
        <v>0</v>
      </c>
      <c r="L120" s="469" t="s">
        <v>7</v>
      </c>
      <c r="M120" s="437">
        <v>20</v>
      </c>
      <c r="N120" s="469" t="s">
        <v>7</v>
      </c>
      <c r="O120" s="437">
        <v>0</v>
      </c>
      <c r="P120" s="437">
        <v>5</v>
      </c>
      <c r="Q120" s="469" t="s">
        <v>7</v>
      </c>
      <c r="R120" s="437">
        <v>15</v>
      </c>
      <c r="S120" s="231">
        <v>40</v>
      </c>
      <c r="T120" s="437">
        <v>10</v>
      </c>
      <c r="U120" s="469" t="s">
        <v>7</v>
      </c>
      <c r="V120" s="208">
        <v>30</v>
      </c>
      <c r="W120" s="208">
        <v>10</v>
      </c>
      <c r="X120" s="469">
        <v>0</v>
      </c>
      <c r="Y120" s="208">
        <v>5</v>
      </c>
      <c r="Z120" s="208">
        <v>40</v>
      </c>
      <c r="AA120" s="476" t="s">
        <v>7</v>
      </c>
      <c r="AB120" s="437">
        <v>20</v>
      </c>
      <c r="AC120" s="208">
        <v>0</v>
      </c>
      <c r="AD120" s="476" t="s">
        <v>7</v>
      </c>
      <c r="AE120" s="476" t="s">
        <v>7</v>
      </c>
      <c r="AF120" s="469" t="s">
        <v>7</v>
      </c>
      <c r="AG120" s="208">
        <v>15</v>
      </c>
      <c r="AH120" s="476" t="s">
        <v>7</v>
      </c>
      <c r="AI120" s="208">
        <v>5</v>
      </c>
      <c r="AJ120" s="437">
        <v>10</v>
      </c>
      <c r="AK120" s="533" t="s">
        <v>7</v>
      </c>
      <c r="AL120" s="533" t="s">
        <v>7</v>
      </c>
      <c r="AM120" s="205">
        <f t="shared" ref="AM120:AM131" si="18">COUNT(E120:AL120)</f>
        <v>19</v>
      </c>
      <c r="AN120" s="206">
        <f t="shared" ref="AN120:AN134" si="19">IF(ISERROR(AVERAGE(E120:AL120)),0,(AVERAGE(E120:AL120)))</f>
        <v>13.421052631578947</v>
      </c>
      <c r="AO120" s="207">
        <f t="shared" ref="AO120:AO127" si="20">SUM(E120:AL120)</f>
        <v>255</v>
      </c>
      <c r="AP120" s="40"/>
      <c r="AR120" s="118"/>
      <c r="AS120" s="120"/>
      <c r="AT120" s="120"/>
      <c r="AU120" s="120"/>
      <c r="AV120" s="120"/>
      <c r="AW120" s="120"/>
      <c r="AX120" s="118"/>
      <c r="AY120" s="118"/>
      <c r="AZ120" s="118"/>
    </row>
    <row r="121" spans="1:52" ht="16.5" customHeight="1">
      <c r="A121" s="40"/>
      <c r="B121" s="241">
        <v>2</v>
      </c>
      <c r="C121" s="300" t="s">
        <v>117</v>
      </c>
      <c r="D121" s="242" t="s">
        <v>2192</v>
      </c>
      <c r="E121" s="436">
        <v>60</v>
      </c>
      <c r="F121" s="469" t="s">
        <v>7</v>
      </c>
      <c r="G121" s="437">
        <v>0</v>
      </c>
      <c r="H121" s="437">
        <v>30</v>
      </c>
      <c r="I121" s="437">
        <v>5</v>
      </c>
      <c r="J121" s="437">
        <v>0</v>
      </c>
      <c r="K121" s="437">
        <v>0</v>
      </c>
      <c r="L121" s="469" t="s">
        <v>7</v>
      </c>
      <c r="M121" s="437">
        <v>0</v>
      </c>
      <c r="N121" s="437">
        <v>10</v>
      </c>
      <c r="O121" s="437">
        <v>0</v>
      </c>
      <c r="P121" s="469" t="s">
        <v>7</v>
      </c>
      <c r="Q121" s="437">
        <v>0</v>
      </c>
      <c r="R121" s="469" t="s">
        <v>7</v>
      </c>
      <c r="S121" s="437">
        <v>80</v>
      </c>
      <c r="T121" s="437">
        <v>20</v>
      </c>
      <c r="U121" s="469" t="s">
        <v>7</v>
      </c>
      <c r="V121" s="437">
        <v>5</v>
      </c>
      <c r="W121" s="437">
        <v>15</v>
      </c>
      <c r="X121" s="437">
        <v>0</v>
      </c>
      <c r="Y121" s="469" t="s">
        <v>7</v>
      </c>
      <c r="Z121" s="437">
        <v>15</v>
      </c>
      <c r="AA121" s="437">
        <v>0</v>
      </c>
      <c r="AB121" s="437">
        <v>0</v>
      </c>
      <c r="AC121" s="437">
        <v>0</v>
      </c>
      <c r="AD121" s="469" t="s">
        <v>7</v>
      </c>
      <c r="AE121" s="437">
        <v>0</v>
      </c>
      <c r="AF121" s="437">
        <v>0</v>
      </c>
      <c r="AG121" s="469">
        <v>0</v>
      </c>
      <c r="AH121" s="437">
        <v>0</v>
      </c>
      <c r="AI121" s="469">
        <v>5</v>
      </c>
      <c r="AJ121" s="437">
        <v>15</v>
      </c>
      <c r="AK121" s="231">
        <v>10</v>
      </c>
      <c r="AL121" s="441">
        <v>10</v>
      </c>
      <c r="AM121" s="208">
        <f t="shared" si="18"/>
        <v>27</v>
      </c>
      <c r="AN121" s="209">
        <f t="shared" si="19"/>
        <v>10.37037037037037</v>
      </c>
      <c r="AO121" s="210">
        <f t="shared" si="20"/>
        <v>280</v>
      </c>
      <c r="AP121" s="40"/>
      <c r="AR121" s="118"/>
      <c r="AS121" s="120"/>
      <c r="AT121" s="120"/>
      <c r="AU121" s="120"/>
      <c r="AV121" s="120"/>
      <c r="AW121" s="120"/>
      <c r="AX121" s="118"/>
      <c r="AY121" s="118"/>
      <c r="AZ121" s="118"/>
    </row>
    <row r="122" spans="1:52" ht="16.5" customHeight="1">
      <c r="A122" s="40"/>
      <c r="B122" s="241">
        <v>3</v>
      </c>
      <c r="C122" s="300" t="s">
        <v>111</v>
      </c>
      <c r="D122" s="242" t="s">
        <v>230</v>
      </c>
      <c r="E122" s="436">
        <v>5</v>
      </c>
      <c r="F122" s="469" t="s">
        <v>7</v>
      </c>
      <c r="G122" s="469" t="s">
        <v>7</v>
      </c>
      <c r="H122" s="469" t="s">
        <v>7</v>
      </c>
      <c r="I122" s="437">
        <v>10</v>
      </c>
      <c r="J122" s="437">
        <v>5</v>
      </c>
      <c r="K122" s="437">
        <v>40</v>
      </c>
      <c r="L122" s="437">
        <v>20</v>
      </c>
      <c r="M122" s="469" t="s">
        <v>7</v>
      </c>
      <c r="N122" s="437">
        <v>0</v>
      </c>
      <c r="O122" s="437">
        <v>70</v>
      </c>
      <c r="P122" s="469" t="s">
        <v>7</v>
      </c>
      <c r="Q122" s="469" t="s">
        <v>7</v>
      </c>
      <c r="R122" s="437">
        <v>0</v>
      </c>
      <c r="S122" s="437">
        <v>15</v>
      </c>
      <c r="T122" s="437">
        <v>5</v>
      </c>
      <c r="U122" s="437">
        <v>0</v>
      </c>
      <c r="V122" s="469" t="s">
        <v>7</v>
      </c>
      <c r="W122" s="437">
        <v>10</v>
      </c>
      <c r="X122" s="437">
        <v>0</v>
      </c>
      <c r="Y122" s="437">
        <v>10</v>
      </c>
      <c r="Z122" s="437">
        <v>15</v>
      </c>
      <c r="AA122" s="469" t="s">
        <v>7</v>
      </c>
      <c r="AB122" s="437">
        <v>0</v>
      </c>
      <c r="AC122" s="437">
        <v>0</v>
      </c>
      <c r="AD122" s="437">
        <v>5</v>
      </c>
      <c r="AE122" s="469" t="s">
        <v>7</v>
      </c>
      <c r="AF122" s="469" t="s">
        <v>7</v>
      </c>
      <c r="AG122" s="437">
        <v>15</v>
      </c>
      <c r="AH122" s="437">
        <v>10</v>
      </c>
      <c r="AI122" s="469">
        <v>0</v>
      </c>
      <c r="AJ122" s="231">
        <v>40</v>
      </c>
      <c r="AK122" s="441">
        <v>10</v>
      </c>
      <c r="AL122" s="441">
        <v>30</v>
      </c>
      <c r="AM122" s="208">
        <f t="shared" si="18"/>
        <v>24</v>
      </c>
      <c r="AN122" s="209">
        <f t="shared" si="19"/>
        <v>13.125</v>
      </c>
      <c r="AO122" s="210">
        <f t="shared" si="20"/>
        <v>315</v>
      </c>
      <c r="AP122" s="40"/>
      <c r="AR122" s="118"/>
      <c r="AS122" s="120"/>
      <c r="AT122" s="120"/>
      <c r="AU122" s="120"/>
      <c r="AV122" s="120"/>
      <c r="AW122" s="120"/>
      <c r="AX122" s="118"/>
      <c r="AY122" s="118"/>
      <c r="AZ122" s="118"/>
    </row>
    <row r="123" spans="1:52" ht="16.5" customHeight="1">
      <c r="A123" s="40"/>
      <c r="B123" s="241">
        <v>4</v>
      </c>
      <c r="C123" s="300" t="s">
        <v>114</v>
      </c>
      <c r="D123" s="242" t="s">
        <v>2121</v>
      </c>
      <c r="E123" s="436">
        <v>20</v>
      </c>
      <c r="F123" s="469" t="s">
        <v>7</v>
      </c>
      <c r="G123" s="469" t="s">
        <v>7</v>
      </c>
      <c r="H123" s="437">
        <v>0</v>
      </c>
      <c r="I123" s="437">
        <v>5</v>
      </c>
      <c r="J123" s="469" t="s">
        <v>7</v>
      </c>
      <c r="K123" s="437">
        <v>10</v>
      </c>
      <c r="L123" s="437">
        <v>30</v>
      </c>
      <c r="M123" s="469" t="s">
        <v>7</v>
      </c>
      <c r="N123" s="437">
        <v>20</v>
      </c>
      <c r="O123" s="437">
        <v>30</v>
      </c>
      <c r="P123" s="469" t="s">
        <v>7</v>
      </c>
      <c r="Q123" s="437">
        <v>0</v>
      </c>
      <c r="R123" s="469" t="s">
        <v>7</v>
      </c>
      <c r="S123" s="437">
        <v>15</v>
      </c>
      <c r="T123" s="437">
        <v>5</v>
      </c>
      <c r="U123" s="437">
        <v>10</v>
      </c>
      <c r="V123" s="469" t="s">
        <v>7</v>
      </c>
      <c r="W123" s="437">
        <v>15</v>
      </c>
      <c r="X123" s="437">
        <v>20</v>
      </c>
      <c r="Y123" s="437">
        <v>0</v>
      </c>
      <c r="Z123" s="437">
        <v>0</v>
      </c>
      <c r="AA123" s="469" t="s">
        <v>7</v>
      </c>
      <c r="AB123" s="437">
        <v>15</v>
      </c>
      <c r="AC123" s="437">
        <v>10</v>
      </c>
      <c r="AD123" s="469" t="s">
        <v>7</v>
      </c>
      <c r="AE123" s="469" t="s">
        <v>7</v>
      </c>
      <c r="AF123" s="437">
        <v>5</v>
      </c>
      <c r="AG123" s="231">
        <v>15</v>
      </c>
      <c r="AH123" s="469" t="s">
        <v>7</v>
      </c>
      <c r="AI123" s="437">
        <v>25</v>
      </c>
      <c r="AJ123" s="441">
        <v>15</v>
      </c>
      <c r="AK123" s="531" t="s">
        <v>7</v>
      </c>
      <c r="AL123" s="531" t="s">
        <v>7</v>
      </c>
      <c r="AM123" s="208">
        <f t="shared" si="18"/>
        <v>21</v>
      </c>
      <c r="AN123" s="209">
        <f t="shared" si="19"/>
        <v>12.619047619047619</v>
      </c>
      <c r="AO123" s="210">
        <f t="shared" si="20"/>
        <v>265</v>
      </c>
      <c r="AP123" s="40"/>
      <c r="AR123" s="118"/>
      <c r="AS123" s="120"/>
      <c r="AT123" s="120"/>
      <c r="AU123" s="120"/>
      <c r="AV123" s="120"/>
      <c r="AW123" s="120"/>
      <c r="AX123" s="118"/>
      <c r="AY123" s="118"/>
      <c r="AZ123" s="118"/>
    </row>
    <row r="124" spans="1:52" ht="16.5" customHeight="1">
      <c r="A124" s="40"/>
      <c r="B124" s="241">
        <v>5</v>
      </c>
      <c r="C124" s="300" t="s">
        <v>134</v>
      </c>
      <c r="D124" s="242" t="s">
        <v>2194</v>
      </c>
      <c r="E124" s="466" t="s">
        <v>7</v>
      </c>
      <c r="F124" s="437">
        <v>35</v>
      </c>
      <c r="G124" s="469" t="s">
        <v>7</v>
      </c>
      <c r="H124" s="437">
        <v>0</v>
      </c>
      <c r="I124" s="437">
        <v>5</v>
      </c>
      <c r="J124" s="469" t="s">
        <v>7</v>
      </c>
      <c r="K124" s="437">
        <v>10</v>
      </c>
      <c r="L124" s="437">
        <v>20</v>
      </c>
      <c r="M124" s="469" t="s">
        <v>7</v>
      </c>
      <c r="N124" s="437">
        <v>0</v>
      </c>
      <c r="O124" s="230">
        <v>15</v>
      </c>
      <c r="P124" s="437">
        <v>5</v>
      </c>
      <c r="Q124" s="437">
        <v>15</v>
      </c>
      <c r="R124" s="469" t="s">
        <v>7</v>
      </c>
      <c r="S124" s="437">
        <v>0</v>
      </c>
      <c r="T124" s="469">
        <v>5</v>
      </c>
      <c r="U124" s="469" t="s">
        <v>7</v>
      </c>
      <c r="V124" s="437">
        <v>0</v>
      </c>
      <c r="W124" s="437">
        <v>40</v>
      </c>
      <c r="X124" s="232">
        <v>0</v>
      </c>
      <c r="Y124" s="469" t="s">
        <v>7</v>
      </c>
      <c r="Z124" s="437">
        <v>10</v>
      </c>
      <c r="AA124" s="469" t="s">
        <v>7</v>
      </c>
      <c r="AB124" s="437">
        <v>0</v>
      </c>
      <c r="AC124" s="469">
        <v>5</v>
      </c>
      <c r="AD124" s="437">
        <v>0</v>
      </c>
      <c r="AE124" s="437">
        <v>0</v>
      </c>
      <c r="AF124" s="469" t="s">
        <v>7</v>
      </c>
      <c r="AG124" s="437">
        <v>0</v>
      </c>
      <c r="AH124" s="469" t="s">
        <v>7</v>
      </c>
      <c r="AI124" s="469">
        <v>0</v>
      </c>
      <c r="AJ124" s="437">
        <v>10</v>
      </c>
      <c r="AK124" s="469" t="s">
        <v>7</v>
      </c>
      <c r="AL124" s="531" t="s">
        <v>7</v>
      </c>
      <c r="AM124" s="208">
        <f t="shared" si="18"/>
        <v>22</v>
      </c>
      <c r="AN124" s="209">
        <f t="shared" si="19"/>
        <v>7.9545454545454541</v>
      </c>
      <c r="AO124" s="210">
        <f t="shared" si="20"/>
        <v>175</v>
      </c>
      <c r="AP124" s="40"/>
      <c r="AR124" s="118"/>
      <c r="AS124" s="120"/>
      <c r="AT124" s="120"/>
      <c r="AU124" s="120"/>
      <c r="AV124" s="120"/>
      <c r="AW124" s="120"/>
      <c r="AX124" s="118"/>
      <c r="AY124" s="118"/>
      <c r="AZ124" s="118"/>
    </row>
    <row r="125" spans="1:52" ht="16.5" customHeight="1">
      <c r="A125" s="40"/>
      <c r="B125" s="241">
        <v>6</v>
      </c>
      <c r="C125" s="300" t="s">
        <v>132</v>
      </c>
      <c r="D125" s="242" t="s">
        <v>2140</v>
      </c>
      <c r="E125" s="466" t="s">
        <v>7</v>
      </c>
      <c r="F125" s="469" t="s">
        <v>7</v>
      </c>
      <c r="G125" s="469" t="s">
        <v>7</v>
      </c>
      <c r="H125" s="469" t="s">
        <v>7</v>
      </c>
      <c r="I125" s="469" t="s">
        <v>7</v>
      </c>
      <c r="J125" s="469" t="s">
        <v>7</v>
      </c>
      <c r="K125" s="469" t="s">
        <v>7</v>
      </c>
      <c r="L125" s="469" t="s">
        <v>7</v>
      </c>
      <c r="M125" s="469" t="s">
        <v>7</v>
      </c>
      <c r="N125" s="469" t="s">
        <v>7</v>
      </c>
      <c r="O125" s="469" t="s">
        <v>7</v>
      </c>
      <c r="P125" s="469" t="s">
        <v>7</v>
      </c>
      <c r="Q125" s="469" t="s">
        <v>7</v>
      </c>
      <c r="R125" s="469" t="s">
        <v>7</v>
      </c>
      <c r="S125" s="469" t="s">
        <v>7</v>
      </c>
      <c r="T125" s="469" t="s">
        <v>7</v>
      </c>
      <c r="U125" s="469" t="s">
        <v>7</v>
      </c>
      <c r="V125" s="469" t="s">
        <v>7</v>
      </c>
      <c r="W125" s="469">
        <v>0</v>
      </c>
      <c r="X125" s="230">
        <v>20</v>
      </c>
      <c r="Y125" s="469" t="s">
        <v>7</v>
      </c>
      <c r="Z125" s="469">
        <v>10</v>
      </c>
      <c r="AA125" s="437">
        <v>0</v>
      </c>
      <c r="AB125" s="469" t="s">
        <v>7</v>
      </c>
      <c r="AC125" s="437">
        <v>5</v>
      </c>
      <c r="AD125" s="437">
        <v>0</v>
      </c>
      <c r="AE125" s="469" t="s">
        <v>7</v>
      </c>
      <c r="AF125" s="437">
        <v>0</v>
      </c>
      <c r="AG125" s="469" t="s">
        <v>7</v>
      </c>
      <c r="AH125" s="437">
        <v>20</v>
      </c>
      <c r="AI125" s="437">
        <v>35</v>
      </c>
      <c r="AJ125" s="531" t="s">
        <v>7</v>
      </c>
      <c r="AK125" s="469" t="s">
        <v>7</v>
      </c>
      <c r="AL125" s="531" t="s">
        <v>7</v>
      </c>
      <c r="AM125" s="208">
        <f t="shared" si="18"/>
        <v>9</v>
      </c>
      <c r="AN125" s="209">
        <f t="shared" si="19"/>
        <v>10</v>
      </c>
      <c r="AO125" s="210">
        <f t="shared" si="20"/>
        <v>90</v>
      </c>
      <c r="AP125" s="40"/>
      <c r="AR125" s="118"/>
      <c r="AS125" s="120"/>
      <c r="AT125" s="120"/>
      <c r="AU125" s="120"/>
      <c r="AV125" s="120"/>
      <c r="AW125" s="120"/>
      <c r="AX125" s="118"/>
      <c r="AY125" s="118"/>
      <c r="AZ125" s="118"/>
    </row>
    <row r="126" spans="1:52" ht="16.5" customHeight="1">
      <c r="A126" s="40"/>
      <c r="B126" s="241">
        <v>7</v>
      </c>
      <c r="C126" s="300" t="s">
        <v>111</v>
      </c>
      <c r="D126" s="242" t="s">
        <v>2158</v>
      </c>
      <c r="E126" s="466" t="s">
        <v>7</v>
      </c>
      <c r="F126" s="437">
        <v>0</v>
      </c>
      <c r="G126" s="437">
        <v>25</v>
      </c>
      <c r="H126" s="437">
        <v>10</v>
      </c>
      <c r="I126" s="469" t="s">
        <v>7</v>
      </c>
      <c r="J126" s="437">
        <v>0</v>
      </c>
      <c r="K126" s="469" t="s">
        <v>7</v>
      </c>
      <c r="L126" s="469">
        <v>0</v>
      </c>
      <c r="M126" s="437">
        <v>10</v>
      </c>
      <c r="N126" s="469" t="s">
        <v>7</v>
      </c>
      <c r="O126" s="469">
        <v>0</v>
      </c>
      <c r="P126" s="437">
        <v>0</v>
      </c>
      <c r="Q126" s="437">
        <v>0</v>
      </c>
      <c r="R126" s="437">
        <v>0</v>
      </c>
      <c r="S126" s="469" t="s">
        <v>7</v>
      </c>
      <c r="T126" s="469" t="s">
        <v>7</v>
      </c>
      <c r="U126" s="469" t="s">
        <v>7</v>
      </c>
      <c r="V126" s="437">
        <v>0</v>
      </c>
      <c r="W126" s="469" t="s">
        <v>7</v>
      </c>
      <c r="X126" s="469" t="s">
        <v>7</v>
      </c>
      <c r="Y126" s="469">
        <v>0</v>
      </c>
      <c r="Z126" s="469" t="s">
        <v>7</v>
      </c>
      <c r="AA126" s="437">
        <v>0</v>
      </c>
      <c r="AB126" s="469" t="s">
        <v>7</v>
      </c>
      <c r="AC126" s="469" t="s">
        <v>7</v>
      </c>
      <c r="AD126" s="469" t="s">
        <v>7</v>
      </c>
      <c r="AE126" s="469" t="s">
        <v>7</v>
      </c>
      <c r="AF126" s="469" t="s">
        <v>7</v>
      </c>
      <c r="AG126" s="469" t="s">
        <v>7</v>
      </c>
      <c r="AH126" s="469" t="s">
        <v>7</v>
      </c>
      <c r="AI126" s="469" t="s">
        <v>7</v>
      </c>
      <c r="AJ126" s="469" t="s">
        <v>7</v>
      </c>
      <c r="AK126" s="469" t="s">
        <v>7</v>
      </c>
      <c r="AL126" s="469" t="s">
        <v>7</v>
      </c>
      <c r="AM126" s="208">
        <f t="shared" si="18"/>
        <v>13</v>
      </c>
      <c r="AN126" s="209">
        <f t="shared" si="19"/>
        <v>3.4615384615384617</v>
      </c>
      <c r="AO126" s="210">
        <f t="shared" si="20"/>
        <v>45</v>
      </c>
      <c r="AP126" s="40"/>
      <c r="AR126" s="118"/>
      <c r="AS126" s="120"/>
      <c r="AT126" s="120"/>
      <c r="AU126" s="120"/>
      <c r="AV126" s="120"/>
      <c r="AW126" s="120"/>
      <c r="AX126" s="118"/>
      <c r="AY126" s="118"/>
      <c r="AZ126" s="118"/>
    </row>
    <row r="127" spans="1:52" ht="16.5" customHeight="1">
      <c r="A127" s="40"/>
      <c r="B127" s="241">
        <v>8</v>
      </c>
      <c r="C127" s="300" t="s">
        <v>111</v>
      </c>
      <c r="D127" s="242" t="s">
        <v>2159</v>
      </c>
      <c r="E127" s="466" t="s">
        <v>7</v>
      </c>
      <c r="F127" s="437">
        <v>0</v>
      </c>
      <c r="G127" s="437">
        <v>0</v>
      </c>
      <c r="H127" s="469">
        <v>0</v>
      </c>
      <c r="I127" s="469">
        <v>10</v>
      </c>
      <c r="J127" s="469">
        <v>0</v>
      </c>
      <c r="K127" s="230">
        <v>70</v>
      </c>
      <c r="L127" s="437">
        <v>10</v>
      </c>
      <c r="M127" s="437">
        <v>10</v>
      </c>
      <c r="N127" s="437">
        <v>10</v>
      </c>
      <c r="O127" s="469">
        <v>0</v>
      </c>
      <c r="P127" s="469" t="s">
        <v>7</v>
      </c>
      <c r="Q127" s="469">
        <v>0</v>
      </c>
      <c r="R127" s="437">
        <v>0</v>
      </c>
      <c r="S127" s="469" t="s">
        <v>7</v>
      </c>
      <c r="T127" s="437">
        <v>5</v>
      </c>
      <c r="U127" s="469" t="s">
        <v>7</v>
      </c>
      <c r="V127" s="437">
        <v>15</v>
      </c>
      <c r="W127" s="469">
        <v>10</v>
      </c>
      <c r="X127" s="469">
        <v>0</v>
      </c>
      <c r="Y127" s="437">
        <v>5</v>
      </c>
      <c r="Z127" s="469" t="s">
        <v>7</v>
      </c>
      <c r="AA127" s="437">
        <v>0</v>
      </c>
      <c r="AB127" s="469" t="s">
        <v>7</v>
      </c>
      <c r="AC127" s="469" t="s">
        <v>7</v>
      </c>
      <c r="AD127" s="437">
        <v>0</v>
      </c>
      <c r="AE127" s="437">
        <v>0</v>
      </c>
      <c r="AF127" s="437">
        <v>0</v>
      </c>
      <c r="AG127" s="469" t="s">
        <v>7</v>
      </c>
      <c r="AH127" s="469">
        <v>0</v>
      </c>
      <c r="AI127" s="437">
        <v>15</v>
      </c>
      <c r="AJ127" s="469">
        <v>10</v>
      </c>
      <c r="AK127" s="469" t="s">
        <v>7</v>
      </c>
      <c r="AL127" s="531" t="s">
        <v>7</v>
      </c>
      <c r="AM127" s="208">
        <f t="shared" si="18"/>
        <v>24</v>
      </c>
      <c r="AN127" s="209">
        <f t="shared" si="19"/>
        <v>7.083333333333333</v>
      </c>
      <c r="AO127" s="210">
        <f t="shared" si="20"/>
        <v>170</v>
      </c>
      <c r="AP127" s="40"/>
      <c r="AR127" s="118"/>
      <c r="AS127" s="120"/>
      <c r="AT127" s="120"/>
      <c r="AU127" s="120"/>
      <c r="AV127" s="120"/>
      <c r="AW127" s="120"/>
      <c r="AX127" s="118"/>
      <c r="AY127" s="118"/>
      <c r="AZ127" s="118"/>
    </row>
    <row r="128" spans="1:52" ht="16.5" customHeight="1">
      <c r="A128" s="40"/>
      <c r="B128" s="241">
        <v>9</v>
      </c>
      <c r="C128" s="300" t="s">
        <v>121</v>
      </c>
      <c r="D128" s="242" t="s">
        <v>2178</v>
      </c>
      <c r="E128" s="466" t="s">
        <v>7</v>
      </c>
      <c r="F128" s="437">
        <v>5</v>
      </c>
      <c r="G128" s="437">
        <v>0</v>
      </c>
      <c r="H128" s="469">
        <v>0</v>
      </c>
      <c r="I128" s="469" t="s">
        <v>7</v>
      </c>
      <c r="J128" s="437">
        <v>5</v>
      </c>
      <c r="K128" s="469" t="s">
        <v>7</v>
      </c>
      <c r="L128" s="469">
        <v>0</v>
      </c>
      <c r="M128" s="469">
        <v>0</v>
      </c>
      <c r="N128" s="469" t="s">
        <v>7</v>
      </c>
      <c r="O128" s="469">
        <v>0</v>
      </c>
      <c r="P128" s="437">
        <v>0</v>
      </c>
      <c r="Q128" s="469">
        <v>0</v>
      </c>
      <c r="R128" s="437">
        <v>5</v>
      </c>
      <c r="S128" s="469" t="s">
        <v>7</v>
      </c>
      <c r="T128" s="469" t="s">
        <v>7</v>
      </c>
      <c r="U128" s="437">
        <v>5</v>
      </c>
      <c r="V128" s="469">
        <v>0</v>
      </c>
      <c r="W128" s="469" t="s">
        <v>7</v>
      </c>
      <c r="X128" s="469" t="s">
        <v>7</v>
      </c>
      <c r="Y128" s="437">
        <v>5</v>
      </c>
      <c r="Z128" s="469" t="s">
        <v>7</v>
      </c>
      <c r="AA128" s="437">
        <v>0</v>
      </c>
      <c r="AB128" s="469" t="s">
        <v>7</v>
      </c>
      <c r="AC128" s="469" t="s">
        <v>7</v>
      </c>
      <c r="AD128" s="437">
        <v>0</v>
      </c>
      <c r="AE128" s="437">
        <v>5</v>
      </c>
      <c r="AF128" s="469" t="s">
        <v>7</v>
      </c>
      <c r="AG128" s="469" t="s">
        <v>7</v>
      </c>
      <c r="AH128" s="437">
        <v>15</v>
      </c>
      <c r="AI128" s="469">
        <v>0</v>
      </c>
      <c r="AJ128" s="531" t="s">
        <v>7</v>
      </c>
      <c r="AK128" s="469" t="s">
        <v>7</v>
      </c>
      <c r="AL128" s="531" t="s">
        <v>7</v>
      </c>
      <c r="AM128" s="208">
        <f t="shared" si="18"/>
        <v>18</v>
      </c>
      <c r="AN128" s="209">
        <f t="shared" si="19"/>
        <v>2.5</v>
      </c>
      <c r="AO128" s="210">
        <f t="shared" ref="AO128:AO129" si="21">SUM(E128:AL128)</f>
        <v>45</v>
      </c>
      <c r="AP128" s="40"/>
      <c r="AR128" s="118"/>
      <c r="AS128" s="120"/>
      <c r="AT128" s="120"/>
      <c r="AU128" s="120"/>
      <c r="AV128" s="120"/>
      <c r="AW128" s="120"/>
      <c r="AX128" s="118"/>
      <c r="AY128" s="118"/>
      <c r="AZ128" s="118"/>
    </row>
    <row r="129" spans="1:52" ht="16.5" customHeight="1">
      <c r="A129" s="40"/>
      <c r="B129" s="241">
        <v>10</v>
      </c>
      <c r="C129" s="300" t="s">
        <v>111</v>
      </c>
      <c r="D129" s="242" t="s">
        <v>2179</v>
      </c>
      <c r="E129" s="466" t="s">
        <v>7</v>
      </c>
      <c r="F129" s="437">
        <v>0</v>
      </c>
      <c r="G129" s="437">
        <v>0</v>
      </c>
      <c r="H129" s="437">
        <v>20</v>
      </c>
      <c r="I129" s="469" t="s">
        <v>7</v>
      </c>
      <c r="J129" s="469">
        <v>0</v>
      </c>
      <c r="K129" s="469" t="s">
        <v>7</v>
      </c>
      <c r="L129" s="437">
        <v>20</v>
      </c>
      <c r="M129" s="437">
        <v>5</v>
      </c>
      <c r="N129" s="469" t="s">
        <v>7</v>
      </c>
      <c r="O129" s="469">
        <v>0</v>
      </c>
      <c r="P129" s="437">
        <v>0</v>
      </c>
      <c r="Q129" s="437">
        <v>10</v>
      </c>
      <c r="R129" s="469">
        <v>0</v>
      </c>
      <c r="S129" s="469" t="s">
        <v>7</v>
      </c>
      <c r="T129" s="469" t="s">
        <v>7</v>
      </c>
      <c r="U129" s="469" t="s">
        <v>7</v>
      </c>
      <c r="V129" s="469">
        <v>0</v>
      </c>
      <c r="W129" s="469" t="s">
        <v>7</v>
      </c>
      <c r="X129" s="469" t="s">
        <v>7</v>
      </c>
      <c r="Y129" s="469">
        <v>0</v>
      </c>
      <c r="Z129" s="469" t="s">
        <v>7</v>
      </c>
      <c r="AA129" s="469">
        <v>0</v>
      </c>
      <c r="AB129" s="469" t="s">
        <v>7</v>
      </c>
      <c r="AC129" s="469" t="s">
        <v>7</v>
      </c>
      <c r="AD129" s="469">
        <v>0</v>
      </c>
      <c r="AE129" s="437">
        <v>0</v>
      </c>
      <c r="AF129" s="437">
        <v>0</v>
      </c>
      <c r="AG129" s="469" t="s">
        <v>7</v>
      </c>
      <c r="AH129" s="437">
        <v>5</v>
      </c>
      <c r="AI129" s="437">
        <v>15</v>
      </c>
      <c r="AJ129" s="531" t="s">
        <v>7</v>
      </c>
      <c r="AK129" s="469" t="s">
        <v>7</v>
      </c>
      <c r="AL129" s="531" t="s">
        <v>7</v>
      </c>
      <c r="AM129" s="208">
        <f t="shared" si="18"/>
        <v>18</v>
      </c>
      <c r="AN129" s="209">
        <f t="shared" si="19"/>
        <v>4.166666666666667</v>
      </c>
      <c r="AO129" s="210">
        <f t="shared" si="21"/>
        <v>75</v>
      </c>
      <c r="AP129" s="40"/>
      <c r="AR129" s="118"/>
      <c r="AS129" s="120"/>
      <c r="AT129" s="120"/>
      <c r="AU129" s="120"/>
      <c r="AV129" s="120"/>
      <c r="AW129" s="120"/>
      <c r="AX129" s="118"/>
      <c r="AY129" s="118"/>
      <c r="AZ129" s="118"/>
    </row>
    <row r="130" spans="1:52" ht="16.5" customHeight="1">
      <c r="A130" s="40"/>
      <c r="B130" s="369" t="s">
        <v>1979</v>
      </c>
      <c r="C130" s="370" t="s">
        <v>111</v>
      </c>
      <c r="D130" s="371" t="s">
        <v>2087</v>
      </c>
      <c r="E130" s="466" t="s">
        <v>7</v>
      </c>
      <c r="F130" s="469" t="s">
        <v>7</v>
      </c>
      <c r="G130" s="469" t="s">
        <v>7</v>
      </c>
      <c r="H130" s="469" t="s">
        <v>7</v>
      </c>
      <c r="I130" s="469" t="s">
        <v>7</v>
      </c>
      <c r="J130" s="469" t="s">
        <v>7</v>
      </c>
      <c r="K130" s="469" t="s">
        <v>7</v>
      </c>
      <c r="L130" s="469" t="s">
        <v>7</v>
      </c>
      <c r="M130" s="469" t="s">
        <v>7</v>
      </c>
      <c r="N130" s="469" t="s">
        <v>7</v>
      </c>
      <c r="O130" s="469" t="s">
        <v>7</v>
      </c>
      <c r="P130" s="469" t="s">
        <v>7</v>
      </c>
      <c r="Q130" s="469" t="s">
        <v>7</v>
      </c>
      <c r="R130" s="469" t="s">
        <v>7</v>
      </c>
      <c r="S130" s="232">
        <v>80</v>
      </c>
      <c r="T130" s="469" t="s">
        <v>7</v>
      </c>
      <c r="U130" s="469" t="s">
        <v>7</v>
      </c>
      <c r="V130" s="469" t="s">
        <v>7</v>
      </c>
      <c r="W130" s="469" t="s">
        <v>7</v>
      </c>
      <c r="X130" s="231">
        <v>140</v>
      </c>
      <c r="Y130" s="469" t="s">
        <v>7</v>
      </c>
      <c r="Z130" s="469" t="s">
        <v>7</v>
      </c>
      <c r="AA130" s="469" t="s">
        <v>7</v>
      </c>
      <c r="AB130" s="232">
        <v>0</v>
      </c>
      <c r="AC130" s="469" t="s">
        <v>7</v>
      </c>
      <c r="AD130" s="469" t="s">
        <v>7</v>
      </c>
      <c r="AE130" s="469" t="s">
        <v>7</v>
      </c>
      <c r="AF130" s="469" t="s">
        <v>7</v>
      </c>
      <c r="AG130" s="437">
        <v>60</v>
      </c>
      <c r="AH130" s="469" t="s">
        <v>7</v>
      </c>
      <c r="AI130" s="469" t="s">
        <v>7</v>
      </c>
      <c r="AJ130" s="531" t="s">
        <v>7</v>
      </c>
      <c r="AK130" s="531" t="s">
        <v>7</v>
      </c>
      <c r="AL130" s="531" t="s">
        <v>7</v>
      </c>
      <c r="AM130" s="208">
        <f t="shared" si="18"/>
        <v>4</v>
      </c>
      <c r="AN130" s="209">
        <f t="shared" si="19"/>
        <v>70</v>
      </c>
      <c r="AO130" s="210">
        <f>SUM(E130:AL130)</f>
        <v>280</v>
      </c>
      <c r="AP130" s="40"/>
      <c r="AR130" s="118"/>
      <c r="AS130" s="120"/>
      <c r="AT130" s="120"/>
      <c r="AU130" s="120"/>
      <c r="AV130" s="120"/>
      <c r="AW130" s="120"/>
      <c r="AX130" s="118"/>
      <c r="AY130" s="118"/>
      <c r="AZ130" s="118"/>
    </row>
    <row r="131" spans="1:52" ht="16.5" customHeight="1" thickBot="1">
      <c r="A131" s="40"/>
      <c r="B131" s="368" t="s">
        <v>1979</v>
      </c>
      <c r="C131" s="367" t="s">
        <v>2189</v>
      </c>
      <c r="D131" s="366" t="s">
        <v>2110</v>
      </c>
      <c r="E131" s="466" t="s">
        <v>7</v>
      </c>
      <c r="F131" s="469" t="s">
        <v>7</v>
      </c>
      <c r="G131" s="469" t="s">
        <v>7</v>
      </c>
      <c r="H131" s="469" t="s">
        <v>7</v>
      </c>
      <c r="I131" s="469" t="s">
        <v>7</v>
      </c>
      <c r="J131" s="469" t="s">
        <v>7</v>
      </c>
      <c r="K131" s="469" t="s">
        <v>7</v>
      </c>
      <c r="L131" s="469" t="s">
        <v>7</v>
      </c>
      <c r="M131" s="469" t="s">
        <v>7</v>
      </c>
      <c r="N131" s="469" t="s">
        <v>7</v>
      </c>
      <c r="O131" s="469" t="s">
        <v>7</v>
      </c>
      <c r="P131" s="469" t="s">
        <v>7</v>
      </c>
      <c r="Q131" s="469" t="s">
        <v>7</v>
      </c>
      <c r="R131" s="469" t="s">
        <v>7</v>
      </c>
      <c r="S131" s="469">
        <v>15</v>
      </c>
      <c r="T131" s="469" t="s">
        <v>7</v>
      </c>
      <c r="U131" s="469" t="s">
        <v>7</v>
      </c>
      <c r="V131" s="469" t="s">
        <v>7</v>
      </c>
      <c r="W131" s="469" t="s">
        <v>7</v>
      </c>
      <c r="X131" s="469" t="s">
        <v>7</v>
      </c>
      <c r="Y131" s="469" t="s">
        <v>7</v>
      </c>
      <c r="Z131" s="469" t="s">
        <v>7</v>
      </c>
      <c r="AA131" s="469" t="s">
        <v>7</v>
      </c>
      <c r="AB131" s="469" t="s">
        <v>7</v>
      </c>
      <c r="AC131" s="469" t="s">
        <v>7</v>
      </c>
      <c r="AD131" s="469" t="s">
        <v>7</v>
      </c>
      <c r="AE131" s="469" t="s">
        <v>7</v>
      </c>
      <c r="AF131" s="469" t="s">
        <v>7</v>
      </c>
      <c r="AG131" s="469" t="s">
        <v>7</v>
      </c>
      <c r="AH131" s="469" t="s">
        <v>7</v>
      </c>
      <c r="AI131" s="469" t="s">
        <v>7</v>
      </c>
      <c r="AJ131" s="531" t="s">
        <v>7</v>
      </c>
      <c r="AK131" s="531" t="s">
        <v>7</v>
      </c>
      <c r="AL131" s="531" t="s">
        <v>7</v>
      </c>
      <c r="AM131" s="211">
        <f t="shared" si="18"/>
        <v>1</v>
      </c>
      <c r="AN131" s="212">
        <f t="shared" si="19"/>
        <v>15</v>
      </c>
      <c r="AO131" s="210">
        <f>SUM(E131:AL131)</f>
        <v>15</v>
      </c>
      <c r="AP131" s="40"/>
      <c r="AR131" s="118"/>
      <c r="AS131" s="120"/>
      <c r="AT131" s="120"/>
      <c r="AU131" s="120"/>
      <c r="AV131" s="120"/>
      <c r="AW131" s="120"/>
      <c r="AX131" s="118"/>
      <c r="AY131" s="118"/>
      <c r="AZ131" s="118"/>
    </row>
    <row r="132" spans="1:52" ht="19.5" customHeight="1">
      <c r="A132" s="40"/>
      <c r="B132" s="588" t="s">
        <v>24</v>
      </c>
      <c r="C132" s="589"/>
      <c r="D132" s="590"/>
      <c r="E132" s="213">
        <v>0</v>
      </c>
      <c r="F132" s="214">
        <v>0</v>
      </c>
      <c r="G132" s="214">
        <v>0</v>
      </c>
      <c r="H132" s="214">
        <v>0</v>
      </c>
      <c r="I132" s="214">
        <v>0</v>
      </c>
      <c r="J132" s="214">
        <v>0</v>
      </c>
      <c r="K132" s="214">
        <v>0</v>
      </c>
      <c r="L132" s="214">
        <v>0</v>
      </c>
      <c r="M132" s="214">
        <v>0</v>
      </c>
      <c r="N132" s="214">
        <v>0</v>
      </c>
      <c r="O132" s="214">
        <v>0</v>
      </c>
      <c r="P132" s="214">
        <v>0</v>
      </c>
      <c r="Q132" s="214">
        <v>0</v>
      </c>
      <c r="R132" s="214">
        <v>0</v>
      </c>
      <c r="S132" s="214">
        <v>0</v>
      </c>
      <c r="T132" s="214">
        <v>0</v>
      </c>
      <c r="U132" s="214">
        <v>0</v>
      </c>
      <c r="V132" s="214">
        <v>0</v>
      </c>
      <c r="W132" s="214">
        <v>0</v>
      </c>
      <c r="X132" s="214">
        <v>0</v>
      </c>
      <c r="Y132" s="214">
        <v>0</v>
      </c>
      <c r="Z132" s="214">
        <v>0</v>
      </c>
      <c r="AA132" s="214">
        <v>0</v>
      </c>
      <c r="AB132" s="214">
        <v>0</v>
      </c>
      <c r="AC132" s="214">
        <v>0</v>
      </c>
      <c r="AD132" s="214">
        <v>0</v>
      </c>
      <c r="AE132" s="214">
        <v>0</v>
      </c>
      <c r="AF132" s="214">
        <v>0</v>
      </c>
      <c r="AG132" s="214">
        <v>0</v>
      </c>
      <c r="AH132" s="214">
        <v>0</v>
      </c>
      <c r="AI132" s="214">
        <v>0</v>
      </c>
      <c r="AJ132" s="215">
        <v>0</v>
      </c>
      <c r="AK132" s="215">
        <v>0</v>
      </c>
      <c r="AL132" s="215">
        <v>0</v>
      </c>
      <c r="AM132" s="216" t="s">
        <v>7</v>
      </c>
      <c r="AN132" s="217">
        <f t="shared" si="19"/>
        <v>0</v>
      </c>
      <c r="AO132" s="218">
        <f>SUM(E132:AL132)</f>
        <v>0</v>
      </c>
      <c r="AP132" s="40"/>
      <c r="AR132" s="118"/>
      <c r="AS132" s="120"/>
      <c r="AT132" s="120"/>
      <c r="AU132" s="120"/>
      <c r="AV132" s="120"/>
      <c r="AW132" s="120"/>
      <c r="AX132" s="118"/>
      <c r="AY132" s="118"/>
      <c r="AZ132" s="118"/>
    </row>
    <row r="133" spans="1:52" ht="19.5" customHeight="1">
      <c r="A133" s="40"/>
      <c r="B133" s="598" t="s">
        <v>25</v>
      </c>
      <c r="C133" s="599"/>
      <c r="D133" s="600"/>
      <c r="E133" s="219">
        <v>1</v>
      </c>
      <c r="F133" s="219">
        <v>1</v>
      </c>
      <c r="G133" s="219">
        <v>1</v>
      </c>
      <c r="H133" s="219">
        <v>2</v>
      </c>
      <c r="I133" s="219">
        <v>0</v>
      </c>
      <c r="J133" s="219">
        <v>1</v>
      </c>
      <c r="K133" s="219">
        <v>2</v>
      </c>
      <c r="L133" s="219">
        <v>4</v>
      </c>
      <c r="M133" s="219">
        <v>1</v>
      </c>
      <c r="N133" s="219">
        <v>0</v>
      </c>
      <c r="O133" s="219">
        <v>1</v>
      </c>
      <c r="P133" s="219">
        <v>0</v>
      </c>
      <c r="Q133" s="219">
        <v>0</v>
      </c>
      <c r="R133" s="219">
        <v>0</v>
      </c>
      <c r="S133" s="219">
        <v>2</v>
      </c>
      <c r="T133" s="219">
        <v>0</v>
      </c>
      <c r="U133" s="219">
        <v>0</v>
      </c>
      <c r="V133" s="219">
        <v>1</v>
      </c>
      <c r="W133" s="219">
        <v>1</v>
      </c>
      <c r="X133" s="219">
        <v>1</v>
      </c>
      <c r="Y133" s="219">
        <v>0</v>
      </c>
      <c r="Z133" s="219">
        <v>1</v>
      </c>
      <c r="AA133" s="219">
        <v>0</v>
      </c>
      <c r="AB133" s="219">
        <v>0</v>
      </c>
      <c r="AC133" s="219">
        <v>0</v>
      </c>
      <c r="AD133" s="219">
        <v>0</v>
      </c>
      <c r="AE133" s="219">
        <v>0</v>
      </c>
      <c r="AF133" s="219">
        <v>0</v>
      </c>
      <c r="AG133" s="219">
        <v>1</v>
      </c>
      <c r="AH133" s="219">
        <v>1</v>
      </c>
      <c r="AI133" s="219">
        <v>2</v>
      </c>
      <c r="AJ133" s="220">
        <v>1</v>
      </c>
      <c r="AK133" s="220">
        <v>0</v>
      </c>
      <c r="AL133" s="220">
        <v>0</v>
      </c>
      <c r="AM133" s="220" t="s">
        <v>7</v>
      </c>
      <c r="AN133" s="221">
        <f t="shared" si="19"/>
        <v>0.73529411764705888</v>
      </c>
      <c r="AO133" s="222">
        <f>SUM(E133:AL133)</f>
        <v>25</v>
      </c>
      <c r="AP133" s="40"/>
      <c r="AR133" s="118"/>
      <c r="AS133" s="118">
        <f>AS134/16</f>
        <v>33.4375</v>
      </c>
      <c r="AT133" s="118">
        <f>AT134/7</f>
        <v>52.857142857142854</v>
      </c>
      <c r="AU133" s="118">
        <f>AU134/7</f>
        <v>55.714285714285715</v>
      </c>
      <c r="AV133" s="118">
        <f>AV134/5</f>
        <v>141</v>
      </c>
      <c r="AW133" s="120"/>
      <c r="AX133" s="118"/>
      <c r="AY133" s="118"/>
      <c r="AZ133" s="118"/>
    </row>
    <row r="134" spans="1:52" ht="21" customHeight="1" thickBot="1">
      <c r="A134" s="40"/>
      <c r="B134" s="595" t="s">
        <v>26</v>
      </c>
      <c r="C134" s="596"/>
      <c r="D134" s="597"/>
      <c r="E134" s="53">
        <v>85</v>
      </c>
      <c r="F134" s="53">
        <v>40</v>
      </c>
      <c r="G134" s="53">
        <v>25</v>
      </c>
      <c r="H134" s="53">
        <v>60</v>
      </c>
      <c r="I134" s="53">
        <v>25</v>
      </c>
      <c r="J134" s="53">
        <v>40</v>
      </c>
      <c r="K134" s="53">
        <v>130</v>
      </c>
      <c r="L134" s="53">
        <v>100</v>
      </c>
      <c r="M134" s="53">
        <v>45</v>
      </c>
      <c r="N134" s="53">
        <v>40</v>
      </c>
      <c r="O134" s="53">
        <v>115</v>
      </c>
      <c r="P134" s="53">
        <v>10</v>
      </c>
      <c r="Q134" s="53">
        <v>25</v>
      </c>
      <c r="R134" s="53">
        <v>20</v>
      </c>
      <c r="S134" s="53">
        <v>270</v>
      </c>
      <c r="T134" s="53">
        <v>45</v>
      </c>
      <c r="U134" s="53">
        <v>15</v>
      </c>
      <c r="V134" s="53">
        <v>50</v>
      </c>
      <c r="W134" s="53">
        <v>90</v>
      </c>
      <c r="X134" s="53">
        <v>320</v>
      </c>
      <c r="Y134" s="53">
        <v>25</v>
      </c>
      <c r="Z134" s="53">
        <v>80</v>
      </c>
      <c r="AA134" s="53">
        <v>0</v>
      </c>
      <c r="AB134" s="53">
        <v>35</v>
      </c>
      <c r="AC134" s="53">
        <v>15</v>
      </c>
      <c r="AD134" s="53">
        <v>5</v>
      </c>
      <c r="AE134" s="53">
        <v>5</v>
      </c>
      <c r="AF134" s="53">
        <v>5</v>
      </c>
      <c r="AG134" s="53">
        <v>120</v>
      </c>
      <c r="AH134" s="53">
        <v>50</v>
      </c>
      <c r="AI134" s="53">
        <v>95</v>
      </c>
      <c r="AJ134" s="54">
        <v>130</v>
      </c>
      <c r="AK134" s="54">
        <v>30</v>
      </c>
      <c r="AL134" s="53">
        <v>40</v>
      </c>
      <c r="AM134" s="55" t="s">
        <v>7</v>
      </c>
      <c r="AN134" s="223">
        <f t="shared" si="19"/>
        <v>64.264705882352942</v>
      </c>
      <c r="AO134" s="56">
        <f>SUM(E134:AL134)</f>
        <v>2185</v>
      </c>
      <c r="AP134" s="40"/>
      <c r="AR134" s="118"/>
      <c r="AS134" s="120">
        <f>SUM(F153:H153,J153,L153,M153,P153,Q153,R153,U153,V153,Y153,AD153,AE153,AH153,AI153)</f>
        <v>535</v>
      </c>
      <c r="AT134" s="120">
        <f>SUM(E153,I153,N153,T153,AA153,AC153,AF153)</f>
        <v>370</v>
      </c>
      <c r="AU134" s="120">
        <f>SUM(K153,O153,W153,Z153,AJ153,AK153,AL153)</f>
        <v>390</v>
      </c>
      <c r="AV134" s="120">
        <f>SUM(S153,X153,AB153,AG153)</f>
        <v>705</v>
      </c>
      <c r="AW134" s="120"/>
      <c r="AX134" s="118"/>
      <c r="AY134" s="118"/>
      <c r="AZ134" s="118"/>
    </row>
    <row r="135" spans="1:52" ht="13.5" customHeight="1" thickBot="1">
      <c r="A135" s="40"/>
      <c r="B135" s="57"/>
      <c r="C135" s="291"/>
      <c r="D135" s="58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60"/>
      <c r="AO135" s="61"/>
      <c r="AP135" s="40"/>
      <c r="AR135" s="118"/>
      <c r="AS135" s="120"/>
      <c r="AT135" s="120"/>
      <c r="AU135" s="120"/>
      <c r="AV135" s="120"/>
      <c r="AW135" s="120"/>
      <c r="AX135" s="118"/>
      <c r="AY135" s="118"/>
      <c r="AZ135" s="118"/>
    </row>
    <row r="136" spans="1:52" ht="27" thickBot="1">
      <c r="A136" s="40"/>
      <c r="B136" s="727" t="s">
        <v>10</v>
      </c>
      <c r="C136" s="728"/>
      <c r="D136" s="728"/>
      <c r="E136" s="424"/>
      <c r="F136" s="425"/>
      <c r="G136" s="425"/>
      <c r="H136" s="425"/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  <c r="T136" s="425"/>
      <c r="U136" s="425"/>
      <c r="V136" s="425"/>
      <c r="W136" s="425"/>
      <c r="X136" s="425"/>
      <c r="Y136" s="425"/>
      <c r="Z136" s="426"/>
      <c r="AA136" s="426"/>
      <c r="AB136" s="426"/>
      <c r="AC136" s="426"/>
      <c r="AD136" s="426"/>
      <c r="AE136" s="426"/>
      <c r="AF136" s="426"/>
      <c r="AG136" s="426"/>
      <c r="AH136" s="426"/>
      <c r="AI136" s="226">
        <v>0</v>
      </c>
      <c r="AJ136" s="227">
        <v>1</v>
      </c>
      <c r="AK136" s="228">
        <v>0</v>
      </c>
      <c r="AL136" s="233">
        <v>10</v>
      </c>
      <c r="AM136" s="626" t="s">
        <v>2017</v>
      </c>
      <c r="AN136" s="627"/>
      <c r="AO136" s="628"/>
      <c r="AP136" s="40"/>
      <c r="AR136" s="121"/>
      <c r="AS136" s="120"/>
      <c r="AT136" s="120"/>
      <c r="AU136" s="120"/>
      <c r="AV136" s="120"/>
      <c r="AW136" s="120"/>
      <c r="AX136" s="118"/>
      <c r="AY136" s="118"/>
      <c r="AZ136" s="118"/>
    </row>
    <row r="137" spans="1:52" ht="15.75" customHeight="1">
      <c r="A137" s="40"/>
      <c r="B137" s="617" t="s">
        <v>16</v>
      </c>
      <c r="C137" s="618"/>
      <c r="D137" s="619"/>
      <c r="E137" s="409">
        <v>1</v>
      </c>
      <c r="F137" s="409">
        <v>2</v>
      </c>
      <c r="G137" s="409">
        <v>3</v>
      </c>
      <c r="H137" s="409">
        <v>4</v>
      </c>
      <c r="I137" s="409">
        <v>5</v>
      </c>
      <c r="J137" s="409">
        <v>6</v>
      </c>
      <c r="K137" s="409">
        <v>7</v>
      </c>
      <c r="L137" s="409">
        <v>8</v>
      </c>
      <c r="M137" s="409">
        <v>9</v>
      </c>
      <c r="N137" s="409">
        <v>10</v>
      </c>
      <c r="O137" s="409">
        <v>11</v>
      </c>
      <c r="P137" s="409">
        <v>12</v>
      </c>
      <c r="Q137" s="409">
        <v>13</v>
      </c>
      <c r="R137" s="409">
        <v>14</v>
      </c>
      <c r="S137" s="409">
        <v>15</v>
      </c>
      <c r="T137" s="409">
        <v>16</v>
      </c>
      <c r="U137" s="409">
        <v>17</v>
      </c>
      <c r="V137" s="410">
        <v>18</v>
      </c>
      <c r="W137" s="410">
        <v>19</v>
      </c>
      <c r="X137" s="410">
        <v>20</v>
      </c>
      <c r="Y137" s="410">
        <v>21</v>
      </c>
      <c r="Z137" s="410">
        <v>22</v>
      </c>
      <c r="AA137" s="410">
        <v>23</v>
      </c>
      <c r="AB137" s="410">
        <v>24</v>
      </c>
      <c r="AC137" s="410">
        <v>25</v>
      </c>
      <c r="AD137" s="410">
        <v>26</v>
      </c>
      <c r="AE137" s="410">
        <v>27</v>
      </c>
      <c r="AF137" s="410">
        <v>28</v>
      </c>
      <c r="AG137" s="410">
        <v>29</v>
      </c>
      <c r="AH137" s="410">
        <v>30</v>
      </c>
      <c r="AI137" s="410">
        <v>31</v>
      </c>
      <c r="AJ137" s="410">
        <v>32</v>
      </c>
      <c r="AK137" s="410">
        <v>33</v>
      </c>
      <c r="AL137" s="410">
        <v>34</v>
      </c>
      <c r="AM137" s="671" t="s">
        <v>17</v>
      </c>
      <c r="AN137" s="673" t="s">
        <v>18</v>
      </c>
      <c r="AO137" s="660" t="s">
        <v>19</v>
      </c>
      <c r="AP137" s="40"/>
      <c r="AR137" s="118"/>
      <c r="AS137" s="120"/>
      <c r="AT137" s="120"/>
      <c r="AU137" s="120"/>
      <c r="AV137" s="120"/>
      <c r="AW137" s="120"/>
      <c r="AX137" s="118"/>
      <c r="AY137" s="118"/>
      <c r="AZ137" s="118"/>
    </row>
    <row r="138" spans="1:52" ht="16.5" customHeight="1" thickBot="1">
      <c r="A138" s="40"/>
      <c r="B138" s="620"/>
      <c r="C138" s="621"/>
      <c r="D138" s="622"/>
      <c r="E138" s="411" t="s">
        <v>21</v>
      </c>
      <c r="F138" s="411" t="s">
        <v>20</v>
      </c>
      <c r="G138" s="411" t="s">
        <v>20</v>
      </c>
      <c r="H138" s="411" t="s">
        <v>20</v>
      </c>
      <c r="I138" s="411" t="s">
        <v>21</v>
      </c>
      <c r="J138" s="411" t="s">
        <v>20</v>
      </c>
      <c r="K138" s="411" t="s">
        <v>22</v>
      </c>
      <c r="L138" s="411" t="s">
        <v>20</v>
      </c>
      <c r="M138" s="411" t="s">
        <v>20</v>
      </c>
      <c r="N138" s="411" t="s">
        <v>21</v>
      </c>
      <c r="O138" s="411" t="s">
        <v>22</v>
      </c>
      <c r="P138" s="411" t="s">
        <v>20</v>
      </c>
      <c r="Q138" s="411" t="s">
        <v>20</v>
      </c>
      <c r="R138" s="411" t="s">
        <v>20</v>
      </c>
      <c r="S138" s="411" t="s">
        <v>23</v>
      </c>
      <c r="T138" s="411" t="s">
        <v>21</v>
      </c>
      <c r="U138" s="411" t="s">
        <v>20</v>
      </c>
      <c r="V138" s="411" t="s">
        <v>20</v>
      </c>
      <c r="W138" s="411" t="s">
        <v>22</v>
      </c>
      <c r="X138" s="411" t="s">
        <v>23</v>
      </c>
      <c r="Y138" s="411" t="s">
        <v>20</v>
      </c>
      <c r="Z138" s="411" t="s">
        <v>22</v>
      </c>
      <c r="AA138" s="411" t="s">
        <v>21</v>
      </c>
      <c r="AB138" s="411" t="s">
        <v>23</v>
      </c>
      <c r="AC138" s="411" t="s">
        <v>21</v>
      </c>
      <c r="AD138" s="411" t="s">
        <v>20</v>
      </c>
      <c r="AE138" s="411" t="s">
        <v>20</v>
      </c>
      <c r="AF138" s="411" t="s">
        <v>21</v>
      </c>
      <c r="AG138" s="411" t="s">
        <v>23</v>
      </c>
      <c r="AH138" s="411" t="s">
        <v>20</v>
      </c>
      <c r="AI138" s="411" t="s">
        <v>20</v>
      </c>
      <c r="AJ138" s="411" t="s">
        <v>22</v>
      </c>
      <c r="AK138" s="411" t="s">
        <v>22</v>
      </c>
      <c r="AL138" s="411" t="s">
        <v>22</v>
      </c>
      <c r="AM138" s="672"/>
      <c r="AN138" s="674"/>
      <c r="AO138" s="661"/>
      <c r="AP138" s="40"/>
      <c r="AR138" s="118"/>
      <c r="AS138" s="120"/>
      <c r="AT138" s="120"/>
      <c r="AU138" s="120"/>
      <c r="AV138" s="120"/>
      <c r="AW138" s="120"/>
      <c r="AX138" s="118"/>
      <c r="AY138" s="118"/>
      <c r="AZ138" s="118"/>
    </row>
    <row r="139" spans="1:52" ht="16.5" customHeight="1">
      <c r="A139" s="40"/>
      <c r="B139" s="412">
        <v>1</v>
      </c>
      <c r="C139" s="413" t="s">
        <v>111</v>
      </c>
      <c r="D139" s="414" t="s">
        <v>2066</v>
      </c>
      <c r="E139" s="436">
        <v>5</v>
      </c>
      <c r="F139" s="469" t="s">
        <v>7</v>
      </c>
      <c r="G139" s="469" t="s">
        <v>7</v>
      </c>
      <c r="H139" s="437">
        <v>0</v>
      </c>
      <c r="I139" s="437">
        <v>0</v>
      </c>
      <c r="J139" s="437">
        <v>0</v>
      </c>
      <c r="K139" s="469">
        <v>0</v>
      </c>
      <c r="L139" s="469" t="s">
        <v>7</v>
      </c>
      <c r="M139" s="469" t="s">
        <v>7</v>
      </c>
      <c r="N139" s="437">
        <v>0</v>
      </c>
      <c r="O139" s="469">
        <v>0</v>
      </c>
      <c r="P139" s="469" t="s">
        <v>7</v>
      </c>
      <c r="Q139" s="469" t="s">
        <v>7</v>
      </c>
      <c r="R139" s="437">
        <v>0</v>
      </c>
      <c r="S139" s="230">
        <v>40</v>
      </c>
      <c r="T139" s="437">
        <v>0</v>
      </c>
      <c r="U139" s="469" t="s">
        <v>7</v>
      </c>
      <c r="V139" s="476" t="s">
        <v>7</v>
      </c>
      <c r="W139" s="208">
        <v>10</v>
      </c>
      <c r="X139" s="437">
        <v>0</v>
      </c>
      <c r="Y139" s="476" t="s">
        <v>7</v>
      </c>
      <c r="Z139" s="208">
        <v>0</v>
      </c>
      <c r="AA139" s="208">
        <v>0</v>
      </c>
      <c r="AB139" s="469" t="s">
        <v>7</v>
      </c>
      <c r="AC139" s="208">
        <v>0</v>
      </c>
      <c r="AD139" s="208">
        <v>0</v>
      </c>
      <c r="AE139" s="208">
        <v>25</v>
      </c>
      <c r="AF139" s="469" t="s">
        <v>7</v>
      </c>
      <c r="AG139" s="476" t="s">
        <v>7</v>
      </c>
      <c r="AH139" s="208">
        <v>5</v>
      </c>
      <c r="AI139" s="208">
        <v>0</v>
      </c>
      <c r="AJ139" s="469" t="s">
        <v>7</v>
      </c>
      <c r="AK139" s="533" t="s">
        <v>7</v>
      </c>
      <c r="AL139" s="533" t="s">
        <v>7</v>
      </c>
      <c r="AM139" s="205">
        <f t="shared" ref="AM139:AM150" si="22">COUNT(E139:AL139)</f>
        <v>19</v>
      </c>
      <c r="AN139" s="206">
        <f t="shared" ref="AN139:AN153" si="23">IF(ISERROR(AVERAGE(E139:AL139)),0,(AVERAGE(E139:AL139)))</f>
        <v>4.4736842105263159</v>
      </c>
      <c r="AO139" s="207">
        <f t="shared" ref="AO139:AO153" si="24">SUM(E139:AL139)</f>
        <v>85</v>
      </c>
      <c r="AP139" s="40"/>
      <c r="AR139" s="118"/>
      <c r="AS139" s="120"/>
      <c r="AT139" s="120"/>
      <c r="AU139" s="120"/>
      <c r="AV139" s="120"/>
      <c r="AW139" s="120"/>
      <c r="AX139" s="118"/>
      <c r="AY139" s="118"/>
      <c r="AZ139" s="118"/>
    </row>
    <row r="140" spans="1:52" ht="16.5" customHeight="1">
      <c r="A140" s="40"/>
      <c r="B140" s="415">
        <v>2</v>
      </c>
      <c r="C140" s="416" t="s">
        <v>122</v>
      </c>
      <c r="D140" s="417" t="s">
        <v>2067</v>
      </c>
      <c r="E140" s="436">
        <v>5</v>
      </c>
      <c r="F140" s="469" t="s">
        <v>7</v>
      </c>
      <c r="G140" s="469" t="s">
        <v>7</v>
      </c>
      <c r="H140" s="469" t="s">
        <v>7</v>
      </c>
      <c r="I140" s="437">
        <v>10</v>
      </c>
      <c r="J140" s="469" t="s">
        <v>7</v>
      </c>
      <c r="K140" s="437">
        <v>0</v>
      </c>
      <c r="L140" s="469" t="s">
        <v>7</v>
      </c>
      <c r="M140" s="469" t="s">
        <v>7</v>
      </c>
      <c r="N140" s="437">
        <v>0</v>
      </c>
      <c r="O140" s="437">
        <v>0</v>
      </c>
      <c r="P140" s="438">
        <v>75</v>
      </c>
      <c r="Q140" s="469" t="s">
        <v>7</v>
      </c>
      <c r="R140" s="469" t="s">
        <v>7</v>
      </c>
      <c r="S140" s="437">
        <v>20</v>
      </c>
      <c r="T140" s="437">
        <v>20</v>
      </c>
      <c r="U140" s="469" t="s">
        <v>7</v>
      </c>
      <c r="V140" s="469" t="s">
        <v>7</v>
      </c>
      <c r="W140" s="437">
        <v>0</v>
      </c>
      <c r="X140" s="437">
        <v>15</v>
      </c>
      <c r="Y140" s="469" t="s">
        <v>7</v>
      </c>
      <c r="Z140" s="437">
        <v>15</v>
      </c>
      <c r="AA140" s="469" t="s">
        <v>7</v>
      </c>
      <c r="AB140" s="437">
        <v>120</v>
      </c>
      <c r="AC140" s="437">
        <v>0</v>
      </c>
      <c r="AD140" s="469" t="s">
        <v>7</v>
      </c>
      <c r="AE140" s="469" t="s">
        <v>7</v>
      </c>
      <c r="AF140" s="437">
        <v>20</v>
      </c>
      <c r="AG140" s="437">
        <v>0</v>
      </c>
      <c r="AH140" s="469" t="s">
        <v>7</v>
      </c>
      <c r="AI140" s="469" t="s">
        <v>7</v>
      </c>
      <c r="AJ140" s="437">
        <v>10</v>
      </c>
      <c r="AK140" s="231">
        <v>40</v>
      </c>
      <c r="AL140" s="555">
        <v>30</v>
      </c>
      <c r="AM140" s="208">
        <f t="shared" si="22"/>
        <v>18</v>
      </c>
      <c r="AN140" s="209">
        <f t="shared" si="23"/>
        <v>21.111111111111111</v>
      </c>
      <c r="AO140" s="210">
        <f t="shared" si="24"/>
        <v>380</v>
      </c>
      <c r="AP140" s="40"/>
      <c r="AR140" s="118"/>
      <c r="AS140" s="120"/>
      <c r="AT140" s="120"/>
      <c r="AU140" s="120"/>
      <c r="AV140" s="120"/>
      <c r="AW140" s="120"/>
      <c r="AX140" s="118"/>
      <c r="AY140" s="118"/>
      <c r="AZ140" s="118"/>
    </row>
    <row r="141" spans="1:52" ht="16.5" customHeight="1">
      <c r="A141" s="40"/>
      <c r="B141" s="415">
        <v>3</v>
      </c>
      <c r="C141" s="416" t="s">
        <v>115</v>
      </c>
      <c r="D141" s="417" t="s">
        <v>2115</v>
      </c>
      <c r="E141" s="436">
        <v>20</v>
      </c>
      <c r="F141" s="469" t="s">
        <v>7</v>
      </c>
      <c r="G141" s="469" t="s">
        <v>7</v>
      </c>
      <c r="H141" s="469" t="s">
        <v>7</v>
      </c>
      <c r="I141" s="437">
        <v>10</v>
      </c>
      <c r="J141" s="469" t="s">
        <v>7</v>
      </c>
      <c r="K141" s="437">
        <v>10</v>
      </c>
      <c r="L141" s="469" t="s">
        <v>7</v>
      </c>
      <c r="M141" s="469" t="s">
        <v>7</v>
      </c>
      <c r="N141" s="437">
        <v>5</v>
      </c>
      <c r="O141" s="437">
        <v>0</v>
      </c>
      <c r="P141" s="437">
        <v>0</v>
      </c>
      <c r="Q141" s="469" t="s">
        <v>7</v>
      </c>
      <c r="R141" s="469" t="s">
        <v>7</v>
      </c>
      <c r="S141" s="231">
        <v>0</v>
      </c>
      <c r="T141" s="437">
        <v>5</v>
      </c>
      <c r="U141" s="469" t="s">
        <v>7</v>
      </c>
      <c r="V141" s="469" t="s">
        <v>7</v>
      </c>
      <c r="W141" s="437">
        <v>10</v>
      </c>
      <c r="X141" s="232">
        <v>20</v>
      </c>
      <c r="Y141" s="469" t="s">
        <v>7</v>
      </c>
      <c r="Z141" s="437">
        <v>10</v>
      </c>
      <c r="AA141" s="469" t="s">
        <v>7</v>
      </c>
      <c r="AB141" s="437">
        <v>40</v>
      </c>
      <c r="AC141" s="437">
        <v>5</v>
      </c>
      <c r="AD141" s="469" t="s">
        <v>7</v>
      </c>
      <c r="AE141" s="469" t="s">
        <v>7</v>
      </c>
      <c r="AF141" s="437">
        <v>10</v>
      </c>
      <c r="AG141" s="437">
        <v>0</v>
      </c>
      <c r="AH141" s="437">
        <v>0</v>
      </c>
      <c r="AI141" s="469">
        <v>0</v>
      </c>
      <c r="AJ141" s="531" t="s">
        <v>7</v>
      </c>
      <c r="AK141" s="531" t="s">
        <v>7</v>
      </c>
      <c r="AL141" s="531" t="s">
        <v>7</v>
      </c>
      <c r="AM141" s="208">
        <f t="shared" si="22"/>
        <v>17</v>
      </c>
      <c r="AN141" s="209">
        <f t="shared" si="23"/>
        <v>8.5294117647058822</v>
      </c>
      <c r="AO141" s="210">
        <f t="shared" si="24"/>
        <v>145</v>
      </c>
      <c r="AP141" s="40"/>
      <c r="AR141" s="118"/>
      <c r="AS141" s="120"/>
      <c r="AT141" s="120"/>
      <c r="AU141" s="120"/>
      <c r="AV141" s="120"/>
      <c r="AW141" s="120"/>
      <c r="AX141" s="118"/>
      <c r="AY141" s="118"/>
      <c r="AZ141" s="118"/>
    </row>
    <row r="142" spans="1:52" ht="16.5" customHeight="1">
      <c r="A142" s="40"/>
      <c r="B142" s="415">
        <v>4</v>
      </c>
      <c r="C142" s="416" t="s">
        <v>111</v>
      </c>
      <c r="D142" s="417" t="s">
        <v>2124</v>
      </c>
      <c r="E142" s="436">
        <v>30</v>
      </c>
      <c r="F142" s="469" t="s">
        <v>7</v>
      </c>
      <c r="G142" s="437">
        <v>0</v>
      </c>
      <c r="H142" s="469" t="s">
        <v>7</v>
      </c>
      <c r="I142" s="469">
        <v>0</v>
      </c>
      <c r="J142" s="437">
        <v>15</v>
      </c>
      <c r="K142" s="437">
        <v>0</v>
      </c>
      <c r="L142" s="469" t="s">
        <v>7</v>
      </c>
      <c r="M142" s="437">
        <v>0</v>
      </c>
      <c r="N142" s="437">
        <v>0</v>
      </c>
      <c r="O142" s="437">
        <v>0</v>
      </c>
      <c r="P142" s="437">
        <v>0</v>
      </c>
      <c r="Q142" s="469" t="s">
        <v>7</v>
      </c>
      <c r="R142" s="437">
        <v>10</v>
      </c>
      <c r="S142" s="437">
        <v>0</v>
      </c>
      <c r="T142" s="437">
        <v>0</v>
      </c>
      <c r="U142" s="469" t="s">
        <v>7</v>
      </c>
      <c r="V142" s="469" t="s">
        <v>7</v>
      </c>
      <c r="W142" s="437">
        <v>40</v>
      </c>
      <c r="X142" s="437">
        <v>15</v>
      </c>
      <c r="Y142" s="469" t="s">
        <v>7</v>
      </c>
      <c r="Z142" s="437">
        <v>15</v>
      </c>
      <c r="AA142" s="437">
        <v>50</v>
      </c>
      <c r="AB142" s="231">
        <v>100</v>
      </c>
      <c r="AC142" s="437">
        <v>0</v>
      </c>
      <c r="AD142" s="437">
        <v>5</v>
      </c>
      <c r="AE142" s="469" t="s">
        <v>7</v>
      </c>
      <c r="AF142" s="469" t="s">
        <v>7</v>
      </c>
      <c r="AG142" s="437">
        <v>0</v>
      </c>
      <c r="AH142" s="469" t="s">
        <v>7</v>
      </c>
      <c r="AI142" s="438">
        <v>75</v>
      </c>
      <c r="AJ142" s="441">
        <v>50</v>
      </c>
      <c r="AK142" s="441">
        <v>30</v>
      </c>
      <c r="AL142" s="441">
        <v>60</v>
      </c>
      <c r="AM142" s="208">
        <f t="shared" si="22"/>
        <v>24</v>
      </c>
      <c r="AN142" s="209">
        <f t="shared" si="23"/>
        <v>20.625</v>
      </c>
      <c r="AO142" s="210">
        <f t="shared" si="24"/>
        <v>495</v>
      </c>
      <c r="AP142" s="40"/>
      <c r="AR142" s="118"/>
      <c r="AS142" s="120"/>
      <c r="AT142" s="120"/>
      <c r="AU142" s="120"/>
      <c r="AV142" s="120"/>
      <c r="AW142" s="120"/>
      <c r="AX142" s="118"/>
      <c r="AY142" s="118"/>
      <c r="AZ142" s="118"/>
    </row>
    <row r="143" spans="1:52" ht="16.5" customHeight="1">
      <c r="A143" s="40"/>
      <c r="B143" s="415">
        <v>5</v>
      </c>
      <c r="C143" s="416" t="s">
        <v>121</v>
      </c>
      <c r="D143" s="417" t="s">
        <v>2137</v>
      </c>
      <c r="E143" s="466">
        <v>5</v>
      </c>
      <c r="F143" s="437">
        <v>0</v>
      </c>
      <c r="G143" s="437">
        <v>0</v>
      </c>
      <c r="H143" s="469" t="s">
        <v>7</v>
      </c>
      <c r="I143" s="437">
        <v>0</v>
      </c>
      <c r="J143" s="437">
        <v>20</v>
      </c>
      <c r="K143" s="437">
        <v>0</v>
      </c>
      <c r="L143" s="469" t="s">
        <v>7</v>
      </c>
      <c r="M143" s="469" t="s">
        <v>7</v>
      </c>
      <c r="N143" s="469">
        <v>5</v>
      </c>
      <c r="O143" s="469">
        <v>0</v>
      </c>
      <c r="P143" s="437">
        <v>0</v>
      </c>
      <c r="Q143" s="437">
        <v>5</v>
      </c>
      <c r="R143" s="469" t="s">
        <v>7</v>
      </c>
      <c r="S143" s="469" t="s">
        <v>7</v>
      </c>
      <c r="T143" s="469">
        <v>0</v>
      </c>
      <c r="U143" s="437">
        <v>15</v>
      </c>
      <c r="V143" s="469" t="s">
        <v>7</v>
      </c>
      <c r="W143" s="469">
        <v>0</v>
      </c>
      <c r="X143" s="469">
        <v>0</v>
      </c>
      <c r="Y143" s="469" t="s">
        <v>7</v>
      </c>
      <c r="Z143" s="437">
        <v>0</v>
      </c>
      <c r="AA143" s="437">
        <v>5</v>
      </c>
      <c r="AB143" s="469" t="s">
        <v>7</v>
      </c>
      <c r="AC143" s="469">
        <v>0</v>
      </c>
      <c r="AD143" s="437">
        <v>0</v>
      </c>
      <c r="AE143" s="437">
        <v>0</v>
      </c>
      <c r="AF143" s="469" t="s">
        <v>7</v>
      </c>
      <c r="AG143" s="469" t="s">
        <v>7</v>
      </c>
      <c r="AH143" s="437">
        <v>5</v>
      </c>
      <c r="AI143" s="469">
        <v>0</v>
      </c>
      <c r="AJ143" s="469" t="s">
        <v>7</v>
      </c>
      <c r="AK143" s="469" t="s">
        <v>7</v>
      </c>
      <c r="AL143" s="531" t="s">
        <v>7</v>
      </c>
      <c r="AM143" s="208">
        <f t="shared" si="22"/>
        <v>21</v>
      </c>
      <c r="AN143" s="209">
        <f t="shared" si="23"/>
        <v>2.8571428571428572</v>
      </c>
      <c r="AO143" s="210">
        <f t="shared" si="24"/>
        <v>60</v>
      </c>
      <c r="AP143" s="40"/>
      <c r="AR143" s="118"/>
      <c r="AS143" s="120"/>
      <c r="AT143" s="120"/>
      <c r="AU143" s="120"/>
      <c r="AV143" s="120"/>
      <c r="AW143" s="120"/>
      <c r="AX143" s="118"/>
      <c r="AY143" s="118"/>
      <c r="AZ143" s="118"/>
    </row>
    <row r="144" spans="1:52" ht="16.5" customHeight="1">
      <c r="A144" s="40"/>
      <c r="B144" s="415">
        <v>6</v>
      </c>
      <c r="C144" s="416" t="s">
        <v>115</v>
      </c>
      <c r="D144" s="417" t="s">
        <v>2143</v>
      </c>
      <c r="E144" s="436">
        <v>20</v>
      </c>
      <c r="F144" s="437">
        <v>0</v>
      </c>
      <c r="G144" s="437">
        <v>10</v>
      </c>
      <c r="H144" s="469" t="s">
        <v>7</v>
      </c>
      <c r="I144" s="437">
        <v>40</v>
      </c>
      <c r="J144" s="469" t="s">
        <v>7</v>
      </c>
      <c r="K144" s="437">
        <v>0</v>
      </c>
      <c r="L144" s="469" t="s">
        <v>7</v>
      </c>
      <c r="M144" s="469" t="s">
        <v>7</v>
      </c>
      <c r="N144" s="437">
        <v>0</v>
      </c>
      <c r="O144" s="437">
        <v>0</v>
      </c>
      <c r="P144" s="469">
        <v>0</v>
      </c>
      <c r="Q144" s="469" t="s">
        <v>7</v>
      </c>
      <c r="R144" s="469" t="s">
        <v>7</v>
      </c>
      <c r="S144" s="474">
        <v>0</v>
      </c>
      <c r="T144" s="437">
        <v>20</v>
      </c>
      <c r="U144" s="437">
        <v>5</v>
      </c>
      <c r="V144" s="437">
        <v>0</v>
      </c>
      <c r="W144" s="437">
        <v>0</v>
      </c>
      <c r="X144" s="230">
        <v>20</v>
      </c>
      <c r="Y144" s="437">
        <v>0</v>
      </c>
      <c r="Z144" s="469">
        <v>0</v>
      </c>
      <c r="AA144" s="469" t="s">
        <v>7</v>
      </c>
      <c r="AB144" s="469">
        <v>0</v>
      </c>
      <c r="AC144" s="437">
        <v>0</v>
      </c>
      <c r="AD144" s="469">
        <v>0</v>
      </c>
      <c r="AE144" s="469" t="s">
        <v>7</v>
      </c>
      <c r="AF144" s="469" t="s">
        <v>7</v>
      </c>
      <c r="AG144" s="469" t="s">
        <v>7</v>
      </c>
      <c r="AH144" s="437">
        <v>0</v>
      </c>
      <c r="AI144" s="437">
        <v>5</v>
      </c>
      <c r="AJ144" s="441">
        <v>10</v>
      </c>
      <c r="AK144" s="469" t="s">
        <v>7</v>
      </c>
      <c r="AL144" s="531" t="s">
        <v>7</v>
      </c>
      <c r="AM144" s="208">
        <f t="shared" si="22"/>
        <v>22</v>
      </c>
      <c r="AN144" s="209">
        <f t="shared" si="23"/>
        <v>5.9090909090909092</v>
      </c>
      <c r="AO144" s="210">
        <f t="shared" si="24"/>
        <v>130</v>
      </c>
      <c r="AP144" s="40"/>
      <c r="AR144" s="118"/>
      <c r="AS144" s="120"/>
      <c r="AT144" s="120"/>
      <c r="AU144" s="120"/>
      <c r="AV144" s="120"/>
      <c r="AW144" s="120"/>
      <c r="AX144" s="118"/>
      <c r="AY144" s="118"/>
      <c r="AZ144" s="118"/>
    </row>
    <row r="145" spans="1:52" ht="16.5" customHeight="1">
      <c r="A145" s="40"/>
      <c r="B145" s="415">
        <v>7</v>
      </c>
      <c r="C145" s="416" t="s">
        <v>111</v>
      </c>
      <c r="D145" s="417" t="s">
        <v>2156</v>
      </c>
      <c r="E145" s="466" t="s">
        <v>7</v>
      </c>
      <c r="F145" s="437">
        <v>0</v>
      </c>
      <c r="G145" s="437">
        <v>20</v>
      </c>
      <c r="H145" s="437">
        <v>0</v>
      </c>
      <c r="I145" s="469">
        <v>10</v>
      </c>
      <c r="J145" s="437">
        <v>20</v>
      </c>
      <c r="K145" s="469" t="s">
        <v>7</v>
      </c>
      <c r="L145" s="437">
        <v>5</v>
      </c>
      <c r="M145" s="437">
        <v>5</v>
      </c>
      <c r="N145" s="469" t="s">
        <v>7</v>
      </c>
      <c r="O145" s="437">
        <v>10</v>
      </c>
      <c r="P145" s="469">
        <v>0</v>
      </c>
      <c r="Q145" s="469" t="s">
        <v>7</v>
      </c>
      <c r="R145" s="469" t="s">
        <v>7</v>
      </c>
      <c r="S145" s="469" t="s">
        <v>7</v>
      </c>
      <c r="T145" s="469" t="s">
        <v>7</v>
      </c>
      <c r="U145" s="469" t="s">
        <v>7</v>
      </c>
      <c r="V145" s="437">
        <v>0</v>
      </c>
      <c r="W145" s="469" t="s">
        <v>7</v>
      </c>
      <c r="X145" s="469">
        <v>20</v>
      </c>
      <c r="Y145" s="437">
        <v>0</v>
      </c>
      <c r="Z145" s="469" t="s">
        <v>7</v>
      </c>
      <c r="AA145" s="469">
        <v>0</v>
      </c>
      <c r="AB145" s="469" t="s">
        <v>7</v>
      </c>
      <c r="AC145" s="469" t="s">
        <v>7</v>
      </c>
      <c r="AD145" s="469">
        <v>0</v>
      </c>
      <c r="AE145" s="437">
        <v>5</v>
      </c>
      <c r="AF145" s="437">
        <v>0</v>
      </c>
      <c r="AG145" s="469" t="s">
        <v>7</v>
      </c>
      <c r="AH145" s="437">
        <v>15</v>
      </c>
      <c r="AI145" s="469">
        <v>0</v>
      </c>
      <c r="AJ145" s="469" t="s">
        <v>7</v>
      </c>
      <c r="AK145" s="469" t="s">
        <v>7</v>
      </c>
      <c r="AL145" s="469" t="s">
        <v>7</v>
      </c>
      <c r="AM145" s="208">
        <f t="shared" si="22"/>
        <v>18</v>
      </c>
      <c r="AN145" s="209">
        <f t="shared" si="23"/>
        <v>6.1111111111111107</v>
      </c>
      <c r="AO145" s="210">
        <f t="shared" si="24"/>
        <v>110</v>
      </c>
      <c r="AP145" s="40"/>
      <c r="AR145" s="118"/>
      <c r="AS145" s="120"/>
      <c r="AT145" s="120"/>
      <c r="AU145" s="120"/>
      <c r="AV145" s="120"/>
      <c r="AW145" s="120"/>
      <c r="AX145" s="118"/>
      <c r="AY145" s="118"/>
      <c r="AZ145" s="118"/>
    </row>
    <row r="146" spans="1:52" ht="16.5" customHeight="1">
      <c r="A146" s="40"/>
      <c r="B146" s="415">
        <v>8</v>
      </c>
      <c r="C146" s="416" t="s">
        <v>111</v>
      </c>
      <c r="D146" s="417" t="s">
        <v>2162</v>
      </c>
      <c r="E146" s="466" t="s">
        <v>7</v>
      </c>
      <c r="F146" s="437">
        <v>5</v>
      </c>
      <c r="G146" s="469">
        <v>0</v>
      </c>
      <c r="H146" s="437">
        <v>5</v>
      </c>
      <c r="I146" s="469" t="s">
        <v>7</v>
      </c>
      <c r="J146" s="437">
        <v>10</v>
      </c>
      <c r="K146" s="469" t="s">
        <v>7</v>
      </c>
      <c r="L146" s="437">
        <v>5</v>
      </c>
      <c r="M146" s="437">
        <v>15</v>
      </c>
      <c r="N146" s="469" t="s">
        <v>7</v>
      </c>
      <c r="O146" s="469">
        <v>0</v>
      </c>
      <c r="P146" s="469">
        <v>0</v>
      </c>
      <c r="Q146" s="469" t="s">
        <v>7</v>
      </c>
      <c r="R146" s="437">
        <v>0</v>
      </c>
      <c r="S146" s="469" t="s">
        <v>7</v>
      </c>
      <c r="T146" s="469" t="s">
        <v>7</v>
      </c>
      <c r="U146" s="437">
        <v>0</v>
      </c>
      <c r="V146" s="437">
        <v>15</v>
      </c>
      <c r="W146" s="469" t="s">
        <v>7</v>
      </c>
      <c r="X146" s="469" t="s">
        <v>7</v>
      </c>
      <c r="Y146" s="437">
        <v>5</v>
      </c>
      <c r="Z146" s="469" t="s">
        <v>7</v>
      </c>
      <c r="AA146" s="437">
        <v>30</v>
      </c>
      <c r="AB146" s="469" t="s">
        <v>7</v>
      </c>
      <c r="AC146" s="469" t="s">
        <v>7</v>
      </c>
      <c r="AD146" s="437">
        <v>20</v>
      </c>
      <c r="AE146" s="437">
        <v>0</v>
      </c>
      <c r="AF146" s="437">
        <v>0</v>
      </c>
      <c r="AG146" s="469" t="s">
        <v>7</v>
      </c>
      <c r="AH146" s="469">
        <v>0</v>
      </c>
      <c r="AI146" s="469">
        <v>0</v>
      </c>
      <c r="AJ146" s="469" t="s">
        <v>7</v>
      </c>
      <c r="AK146" s="469" t="s">
        <v>7</v>
      </c>
      <c r="AL146" s="531" t="s">
        <v>7</v>
      </c>
      <c r="AM146" s="208">
        <f t="shared" si="22"/>
        <v>18</v>
      </c>
      <c r="AN146" s="209">
        <f t="shared" si="23"/>
        <v>6.1111111111111107</v>
      </c>
      <c r="AO146" s="210">
        <f t="shared" si="24"/>
        <v>110</v>
      </c>
      <c r="AP146" s="40"/>
      <c r="AR146" s="118"/>
      <c r="AS146" s="120"/>
      <c r="AT146" s="120"/>
      <c r="AU146" s="120"/>
      <c r="AV146" s="120"/>
      <c r="AW146" s="120"/>
      <c r="AX146" s="118"/>
      <c r="AY146" s="118"/>
      <c r="AZ146" s="118"/>
    </row>
    <row r="147" spans="1:52" ht="16.5" customHeight="1">
      <c r="A147" s="40"/>
      <c r="B147" s="415">
        <v>9</v>
      </c>
      <c r="C147" s="416" t="s">
        <v>111</v>
      </c>
      <c r="D147" s="417" t="s">
        <v>2175</v>
      </c>
      <c r="E147" s="466" t="s">
        <v>7</v>
      </c>
      <c r="F147" s="437">
        <v>10</v>
      </c>
      <c r="G147" s="437">
        <v>5</v>
      </c>
      <c r="H147" s="469" t="s">
        <v>7</v>
      </c>
      <c r="I147" s="469" t="s">
        <v>7</v>
      </c>
      <c r="J147" s="469">
        <v>0</v>
      </c>
      <c r="K147" s="469" t="s">
        <v>7</v>
      </c>
      <c r="L147" s="469" t="s">
        <v>7</v>
      </c>
      <c r="M147" s="437">
        <v>0</v>
      </c>
      <c r="N147" s="469" t="s">
        <v>7</v>
      </c>
      <c r="O147" s="469">
        <v>10</v>
      </c>
      <c r="P147" s="469">
        <v>0</v>
      </c>
      <c r="Q147" s="469" t="s">
        <v>7</v>
      </c>
      <c r="R147" s="437">
        <v>10</v>
      </c>
      <c r="S147" s="469" t="s">
        <v>7</v>
      </c>
      <c r="T147" s="469">
        <v>5</v>
      </c>
      <c r="U147" s="469" t="s">
        <v>7</v>
      </c>
      <c r="V147" s="437">
        <v>0</v>
      </c>
      <c r="W147" s="469" t="s">
        <v>7</v>
      </c>
      <c r="X147" s="469" t="s">
        <v>7</v>
      </c>
      <c r="Y147" s="437">
        <v>0</v>
      </c>
      <c r="Z147" s="469">
        <v>15</v>
      </c>
      <c r="AA147" s="469" t="s">
        <v>7</v>
      </c>
      <c r="AB147" s="469" t="s">
        <v>7</v>
      </c>
      <c r="AC147" s="469" t="s">
        <v>7</v>
      </c>
      <c r="AD147" s="469">
        <v>0</v>
      </c>
      <c r="AE147" s="437">
        <v>25</v>
      </c>
      <c r="AF147" s="469" t="s">
        <v>7</v>
      </c>
      <c r="AG147" s="469" t="s">
        <v>7</v>
      </c>
      <c r="AH147" s="469" t="s">
        <v>7</v>
      </c>
      <c r="AI147" s="437">
        <v>5</v>
      </c>
      <c r="AJ147" s="531" t="s">
        <v>7</v>
      </c>
      <c r="AK147" s="469" t="s">
        <v>7</v>
      </c>
      <c r="AL147" s="531" t="s">
        <v>7</v>
      </c>
      <c r="AM147" s="208">
        <f t="shared" si="22"/>
        <v>14</v>
      </c>
      <c r="AN147" s="209">
        <f t="shared" si="23"/>
        <v>6.0714285714285712</v>
      </c>
      <c r="AO147" s="210">
        <f t="shared" si="24"/>
        <v>85</v>
      </c>
      <c r="AP147" s="40"/>
      <c r="AR147" s="118"/>
      <c r="AS147" s="120"/>
      <c r="AT147" s="120"/>
      <c r="AU147" s="120"/>
      <c r="AV147" s="120"/>
      <c r="AW147" s="120"/>
      <c r="AX147" s="118"/>
      <c r="AY147" s="118"/>
      <c r="AZ147" s="118"/>
    </row>
    <row r="148" spans="1:52" ht="16.5" customHeight="1">
      <c r="A148" s="40"/>
      <c r="B148" s="415">
        <v>10</v>
      </c>
      <c r="C148" s="416" t="s">
        <v>111</v>
      </c>
      <c r="D148" s="417" t="s">
        <v>2181</v>
      </c>
      <c r="E148" s="466">
        <v>0</v>
      </c>
      <c r="F148" s="469">
        <v>0</v>
      </c>
      <c r="G148" s="469">
        <v>0</v>
      </c>
      <c r="H148" s="437">
        <v>0</v>
      </c>
      <c r="I148" s="469" t="s">
        <v>7</v>
      </c>
      <c r="J148" s="469">
        <v>0</v>
      </c>
      <c r="K148" s="469" t="s">
        <v>7</v>
      </c>
      <c r="L148" s="437">
        <v>0</v>
      </c>
      <c r="M148" s="437">
        <v>5</v>
      </c>
      <c r="N148" s="469" t="s">
        <v>7</v>
      </c>
      <c r="O148" s="469">
        <v>15</v>
      </c>
      <c r="P148" s="437">
        <v>10</v>
      </c>
      <c r="Q148" s="437">
        <v>0</v>
      </c>
      <c r="R148" s="469" t="s">
        <v>7</v>
      </c>
      <c r="S148" s="469">
        <v>40</v>
      </c>
      <c r="T148" s="469" t="s">
        <v>7</v>
      </c>
      <c r="U148" s="437">
        <v>0</v>
      </c>
      <c r="V148" s="437">
        <v>15</v>
      </c>
      <c r="W148" s="469" t="s">
        <v>7</v>
      </c>
      <c r="X148" s="469">
        <v>0</v>
      </c>
      <c r="Y148" s="437">
        <v>0</v>
      </c>
      <c r="Z148" s="469" t="s">
        <v>7</v>
      </c>
      <c r="AA148" s="437">
        <v>50</v>
      </c>
      <c r="AB148" s="232">
        <v>0</v>
      </c>
      <c r="AC148" s="469" t="s">
        <v>7</v>
      </c>
      <c r="AD148" s="437">
        <v>10</v>
      </c>
      <c r="AE148" s="469">
        <v>0</v>
      </c>
      <c r="AF148" s="437">
        <v>10</v>
      </c>
      <c r="AG148" s="437">
        <v>0</v>
      </c>
      <c r="AH148" s="469">
        <v>0</v>
      </c>
      <c r="AI148" s="437">
        <v>20</v>
      </c>
      <c r="AJ148" s="531" t="s">
        <v>7</v>
      </c>
      <c r="AK148" s="469" t="s">
        <v>7</v>
      </c>
      <c r="AL148" s="531" t="s">
        <v>7</v>
      </c>
      <c r="AM148" s="208">
        <f t="shared" si="22"/>
        <v>23</v>
      </c>
      <c r="AN148" s="209">
        <f t="shared" si="23"/>
        <v>7.6086956521739131</v>
      </c>
      <c r="AO148" s="210">
        <f t="shared" si="24"/>
        <v>175</v>
      </c>
      <c r="AP148" s="40"/>
      <c r="AR148" s="118"/>
      <c r="AS148" s="120"/>
      <c r="AT148" s="120"/>
      <c r="AU148" s="120"/>
      <c r="AV148" s="120"/>
      <c r="AW148" s="120"/>
      <c r="AX148" s="118"/>
      <c r="AY148" s="118"/>
      <c r="AZ148" s="118"/>
    </row>
    <row r="149" spans="1:52" ht="16.5" customHeight="1">
      <c r="A149" s="40"/>
      <c r="B149" s="418" t="s">
        <v>1979</v>
      </c>
      <c r="C149" s="419" t="s">
        <v>2190</v>
      </c>
      <c r="D149" s="420" t="s">
        <v>2068</v>
      </c>
      <c r="E149" s="466" t="s">
        <v>7</v>
      </c>
      <c r="F149" s="469" t="s">
        <v>7</v>
      </c>
      <c r="G149" s="469" t="s">
        <v>7</v>
      </c>
      <c r="H149" s="469" t="s">
        <v>7</v>
      </c>
      <c r="I149" s="469" t="s">
        <v>7</v>
      </c>
      <c r="J149" s="469" t="s">
        <v>7</v>
      </c>
      <c r="K149" s="469" t="s">
        <v>7</v>
      </c>
      <c r="L149" s="469" t="s">
        <v>7</v>
      </c>
      <c r="M149" s="469" t="s">
        <v>7</v>
      </c>
      <c r="N149" s="469" t="s">
        <v>7</v>
      </c>
      <c r="O149" s="469" t="s">
        <v>7</v>
      </c>
      <c r="P149" s="469" t="s">
        <v>7</v>
      </c>
      <c r="Q149" s="469" t="s">
        <v>7</v>
      </c>
      <c r="R149" s="469" t="s">
        <v>7</v>
      </c>
      <c r="S149" s="437">
        <v>15</v>
      </c>
      <c r="T149" s="469" t="s">
        <v>7</v>
      </c>
      <c r="U149" s="469" t="s">
        <v>7</v>
      </c>
      <c r="V149" s="469" t="s">
        <v>7</v>
      </c>
      <c r="W149" s="469" t="s">
        <v>7</v>
      </c>
      <c r="X149" s="437">
        <v>60</v>
      </c>
      <c r="Y149" s="469" t="s">
        <v>7</v>
      </c>
      <c r="Z149" s="469" t="s">
        <v>7</v>
      </c>
      <c r="AA149" s="469" t="s">
        <v>7</v>
      </c>
      <c r="AB149" s="437">
        <v>0</v>
      </c>
      <c r="AC149" s="469" t="s">
        <v>7</v>
      </c>
      <c r="AD149" s="469" t="s">
        <v>7</v>
      </c>
      <c r="AE149" s="469" t="s">
        <v>7</v>
      </c>
      <c r="AF149" s="469" t="s">
        <v>7</v>
      </c>
      <c r="AG149" s="437">
        <v>0</v>
      </c>
      <c r="AH149" s="469" t="s">
        <v>7</v>
      </c>
      <c r="AI149" s="469" t="s">
        <v>7</v>
      </c>
      <c r="AJ149" s="531" t="s">
        <v>7</v>
      </c>
      <c r="AK149" s="531" t="s">
        <v>7</v>
      </c>
      <c r="AL149" s="531" t="s">
        <v>7</v>
      </c>
      <c r="AM149" s="208">
        <f t="shared" si="22"/>
        <v>4</v>
      </c>
      <c r="AN149" s="209">
        <f t="shared" si="23"/>
        <v>18.75</v>
      </c>
      <c r="AO149" s="210">
        <f t="shared" si="24"/>
        <v>75</v>
      </c>
      <c r="AP149" s="40"/>
      <c r="AR149" s="118"/>
      <c r="AS149" s="120"/>
      <c r="AT149" s="120"/>
      <c r="AU149" s="120"/>
      <c r="AV149" s="120"/>
      <c r="AW149" s="120"/>
      <c r="AX149" s="118"/>
      <c r="AY149" s="118"/>
      <c r="AZ149" s="118"/>
    </row>
    <row r="150" spans="1:52" ht="16.5" customHeight="1" thickBot="1">
      <c r="A150" s="40"/>
      <c r="B150" s="421" t="s">
        <v>1979</v>
      </c>
      <c r="C150" s="422" t="s">
        <v>111</v>
      </c>
      <c r="D150" s="423" t="s">
        <v>2104</v>
      </c>
      <c r="E150" s="466" t="s">
        <v>7</v>
      </c>
      <c r="F150" s="469" t="s">
        <v>7</v>
      </c>
      <c r="G150" s="469" t="s">
        <v>7</v>
      </c>
      <c r="H150" s="469" t="s">
        <v>7</v>
      </c>
      <c r="I150" s="469" t="s">
        <v>7</v>
      </c>
      <c r="J150" s="469" t="s">
        <v>7</v>
      </c>
      <c r="K150" s="469" t="s">
        <v>7</v>
      </c>
      <c r="L150" s="469" t="s">
        <v>7</v>
      </c>
      <c r="M150" s="469" t="s">
        <v>7</v>
      </c>
      <c r="N150" s="469" t="s">
        <v>7</v>
      </c>
      <c r="O150" s="469" t="s">
        <v>7</v>
      </c>
      <c r="P150" s="469" t="s">
        <v>7</v>
      </c>
      <c r="Q150" s="469" t="s">
        <v>7</v>
      </c>
      <c r="R150" s="469" t="s">
        <v>7</v>
      </c>
      <c r="S150" s="437">
        <v>120</v>
      </c>
      <c r="T150" s="469" t="s">
        <v>7</v>
      </c>
      <c r="U150" s="469" t="s">
        <v>7</v>
      </c>
      <c r="V150" s="469" t="s">
        <v>7</v>
      </c>
      <c r="W150" s="469" t="s">
        <v>7</v>
      </c>
      <c r="X150" s="479">
        <v>0</v>
      </c>
      <c r="Y150" s="469" t="s">
        <v>7</v>
      </c>
      <c r="Z150" s="469" t="s">
        <v>7</v>
      </c>
      <c r="AA150" s="469" t="s">
        <v>7</v>
      </c>
      <c r="AB150" s="437">
        <v>20</v>
      </c>
      <c r="AC150" s="469" t="s">
        <v>7</v>
      </c>
      <c r="AD150" s="469" t="s">
        <v>7</v>
      </c>
      <c r="AE150" s="469" t="s">
        <v>7</v>
      </c>
      <c r="AF150" s="469" t="s">
        <v>7</v>
      </c>
      <c r="AG150" s="232">
        <v>0</v>
      </c>
      <c r="AH150" s="469" t="s">
        <v>7</v>
      </c>
      <c r="AI150" s="469"/>
      <c r="AJ150" s="531" t="s">
        <v>7</v>
      </c>
      <c r="AK150" s="531" t="s">
        <v>7</v>
      </c>
      <c r="AL150" s="531" t="s">
        <v>7</v>
      </c>
      <c r="AM150" s="211">
        <f t="shared" si="22"/>
        <v>4</v>
      </c>
      <c r="AN150" s="212">
        <f t="shared" si="23"/>
        <v>35</v>
      </c>
      <c r="AO150" s="210">
        <f t="shared" si="24"/>
        <v>140</v>
      </c>
      <c r="AP150" s="40"/>
      <c r="AR150" s="118"/>
      <c r="AS150" s="120"/>
      <c r="AT150" s="120"/>
      <c r="AU150" s="120"/>
      <c r="AV150" s="120"/>
      <c r="AW150" s="120"/>
      <c r="AX150" s="118"/>
      <c r="AY150" s="118"/>
      <c r="AZ150" s="118"/>
    </row>
    <row r="151" spans="1:52" ht="19.5" customHeight="1">
      <c r="A151" s="40"/>
      <c r="B151" s="588" t="s">
        <v>24</v>
      </c>
      <c r="C151" s="589"/>
      <c r="D151" s="590"/>
      <c r="E151" s="213">
        <v>0</v>
      </c>
      <c r="F151" s="214">
        <v>0</v>
      </c>
      <c r="G151" s="214">
        <v>0</v>
      </c>
      <c r="H151" s="214">
        <v>0</v>
      </c>
      <c r="I151" s="214">
        <v>0</v>
      </c>
      <c r="J151" s="214">
        <v>0</v>
      </c>
      <c r="K151" s="214">
        <v>0</v>
      </c>
      <c r="L151" s="214">
        <v>0</v>
      </c>
      <c r="M151" s="214">
        <v>0</v>
      </c>
      <c r="N151" s="214">
        <v>0</v>
      </c>
      <c r="O151" s="214">
        <v>0</v>
      </c>
      <c r="P151" s="214">
        <v>1</v>
      </c>
      <c r="Q151" s="214">
        <v>0</v>
      </c>
      <c r="R151" s="214">
        <v>0</v>
      </c>
      <c r="S151" s="214">
        <v>0</v>
      </c>
      <c r="T151" s="214">
        <v>0</v>
      </c>
      <c r="U151" s="214">
        <v>0</v>
      </c>
      <c r="V151" s="214">
        <v>0</v>
      </c>
      <c r="W151" s="214">
        <v>0</v>
      </c>
      <c r="X151" s="214">
        <v>0</v>
      </c>
      <c r="Y151" s="214">
        <v>0</v>
      </c>
      <c r="Z151" s="214">
        <v>0</v>
      </c>
      <c r="AA151" s="214">
        <v>0</v>
      </c>
      <c r="AB151" s="214">
        <v>0</v>
      </c>
      <c r="AC151" s="214">
        <v>0</v>
      </c>
      <c r="AD151" s="214">
        <v>0</v>
      </c>
      <c r="AE151" s="214">
        <v>0</v>
      </c>
      <c r="AF151" s="214">
        <v>0</v>
      </c>
      <c r="AG151" s="214">
        <v>0</v>
      </c>
      <c r="AH151" s="214">
        <v>0</v>
      </c>
      <c r="AI151" s="214">
        <v>1</v>
      </c>
      <c r="AJ151" s="215">
        <v>0</v>
      </c>
      <c r="AK151" s="215">
        <v>0</v>
      </c>
      <c r="AL151" s="215">
        <v>0</v>
      </c>
      <c r="AM151" s="216" t="s">
        <v>7</v>
      </c>
      <c r="AN151" s="217">
        <f t="shared" si="23"/>
        <v>5.8823529411764705E-2</v>
      </c>
      <c r="AO151" s="218">
        <f t="shared" si="24"/>
        <v>2</v>
      </c>
      <c r="AP151" s="40"/>
      <c r="AR151" s="118"/>
      <c r="AS151" s="120"/>
      <c r="AT151" s="120"/>
      <c r="AU151" s="120"/>
      <c r="AV151" s="120"/>
      <c r="AW151" s="120"/>
      <c r="AX151" s="118"/>
      <c r="AY151" s="118"/>
      <c r="AZ151" s="118"/>
    </row>
    <row r="152" spans="1:52" ht="19.5" customHeight="1">
      <c r="A152" s="40"/>
      <c r="B152" s="598" t="s">
        <v>25</v>
      </c>
      <c r="C152" s="599"/>
      <c r="D152" s="600"/>
      <c r="E152" s="219">
        <v>1</v>
      </c>
      <c r="F152" s="219">
        <v>0</v>
      </c>
      <c r="G152" s="219">
        <v>1</v>
      </c>
      <c r="H152" s="219">
        <v>0</v>
      </c>
      <c r="I152" s="219">
        <v>1</v>
      </c>
      <c r="J152" s="219">
        <v>2</v>
      </c>
      <c r="K152" s="219">
        <v>0</v>
      </c>
      <c r="L152" s="219">
        <v>0</v>
      </c>
      <c r="M152" s="219">
        <v>0</v>
      </c>
      <c r="N152" s="219">
        <v>0</v>
      </c>
      <c r="O152" s="219">
        <v>0</v>
      </c>
      <c r="P152" s="219">
        <v>1</v>
      </c>
      <c r="Q152" s="219">
        <v>0</v>
      </c>
      <c r="R152" s="219">
        <v>0</v>
      </c>
      <c r="S152" s="219">
        <v>1</v>
      </c>
      <c r="T152" s="219">
        <v>0</v>
      </c>
      <c r="U152" s="219">
        <v>0</v>
      </c>
      <c r="V152" s="219">
        <v>0</v>
      </c>
      <c r="W152" s="219">
        <v>1</v>
      </c>
      <c r="X152" s="219">
        <v>1</v>
      </c>
      <c r="Y152" s="219">
        <v>0</v>
      </c>
      <c r="Z152" s="219">
        <v>0</v>
      </c>
      <c r="AA152" s="219">
        <v>3</v>
      </c>
      <c r="AB152" s="219">
        <v>2</v>
      </c>
      <c r="AC152" s="219">
        <v>0</v>
      </c>
      <c r="AD152" s="219">
        <v>1</v>
      </c>
      <c r="AE152" s="219">
        <v>2</v>
      </c>
      <c r="AF152" s="219">
        <v>0</v>
      </c>
      <c r="AG152" s="219">
        <v>0</v>
      </c>
      <c r="AH152" s="219">
        <v>0</v>
      </c>
      <c r="AI152" s="219">
        <v>2</v>
      </c>
      <c r="AJ152" s="220">
        <v>1</v>
      </c>
      <c r="AK152" s="220">
        <v>1</v>
      </c>
      <c r="AL152" s="220">
        <v>1</v>
      </c>
      <c r="AM152" s="220" t="s">
        <v>7</v>
      </c>
      <c r="AN152" s="221">
        <f t="shared" si="23"/>
        <v>0.6470588235294118</v>
      </c>
      <c r="AO152" s="222">
        <f t="shared" si="24"/>
        <v>22</v>
      </c>
      <c r="AP152" s="40"/>
      <c r="AR152" s="118"/>
      <c r="AS152" s="118">
        <f>AS153/16</f>
        <v>42.8125</v>
      </c>
      <c r="AT152" s="118">
        <f>AT153/7</f>
        <v>52.142857142857146</v>
      </c>
      <c r="AU152" s="118">
        <f>AU153/7</f>
        <v>71.428571428571431</v>
      </c>
      <c r="AV152" s="118">
        <f>AV153/5</f>
        <v>54</v>
      </c>
      <c r="AW152" s="120"/>
      <c r="AX152" s="118"/>
      <c r="AY152" s="118"/>
      <c r="AZ152" s="118"/>
    </row>
    <row r="153" spans="1:52" ht="21" thickBot="1">
      <c r="A153" s="40"/>
      <c r="B153" s="595" t="s">
        <v>26</v>
      </c>
      <c r="C153" s="596"/>
      <c r="D153" s="597"/>
      <c r="E153" s="53">
        <v>80</v>
      </c>
      <c r="F153" s="53">
        <v>15</v>
      </c>
      <c r="G153" s="53">
        <v>35</v>
      </c>
      <c r="H153" s="53">
        <v>5</v>
      </c>
      <c r="I153" s="53">
        <v>60</v>
      </c>
      <c r="J153" s="53">
        <v>65</v>
      </c>
      <c r="K153" s="53">
        <v>10</v>
      </c>
      <c r="L153" s="53">
        <v>10</v>
      </c>
      <c r="M153" s="53">
        <v>25</v>
      </c>
      <c r="N153" s="53">
        <v>5</v>
      </c>
      <c r="O153" s="53">
        <v>10</v>
      </c>
      <c r="P153" s="53">
        <v>85</v>
      </c>
      <c r="Q153" s="53">
        <v>5</v>
      </c>
      <c r="R153" s="53">
        <v>20</v>
      </c>
      <c r="S153" s="53">
        <v>195</v>
      </c>
      <c r="T153" s="53">
        <v>45</v>
      </c>
      <c r="U153" s="53">
        <v>20</v>
      </c>
      <c r="V153" s="53">
        <v>30</v>
      </c>
      <c r="W153" s="53">
        <v>60</v>
      </c>
      <c r="X153" s="53">
        <v>130</v>
      </c>
      <c r="Y153" s="53">
        <v>0</v>
      </c>
      <c r="Z153" s="53">
        <v>40</v>
      </c>
      <c r="AA153" s="53">
        <v>135</v>
      </c>
      <c r="AB153" s="53">
        <v>380</v>
      </c>
      <c r="AC153" s="53">
        <v>5</v>
      </c>
      <c r="AD153" s="53">
        <v>35</v>
      </c>
      <c r="AE153" s="53">
        <v>55</v>
      </c>
      <c r="AF153" s="53">
        <v>40</v>
      </c>
      <c r="AG153" s="53">
        <v>0</v>
      </c>
      <c r="AH153" s="53">
        <v>25</v>
      </c>
      <c r="AI153" s="53">
        <v>105</v>
      </c>
      <c r="AJ153" s="54">
        <v>70</v>
      </c>
      <c r="AK153" s="54">
        <v>110</v>
      </c>
      <c r="AL153" s="53">
        <v>90</v>
      </c>
      <c r="AM153" s="55" t="s">
        <v>7</v>
      </c>
      <c r="AN153" s="223">
        <f t="shared" si="23"/>
        <v>58.823529411764703</v>
      </c>
      <c r="AO153" s="56">
        <f t="shared" si="24"/>
        <v>2000</v>
      </c>
      <c r="AP153" s="40"/>
      <c r="AR153" s="118"/>
      <c r="AS153" s="120">
        <f>SUM(F191:H191,J191,L191,M191,P191,Q191,R191,U191,V191,Y191,AD191,AE191,AH191,AI191)</f>
        <v>685</v>
      </c>
      <c r="AT153" s="120">
        <f>SUM(E191,I191,N191,T191,AA191,AC191,AF191)</f>
        <v>365</v>
      </c>
      <c r="AU153" s="120">
        <f>SUM(K191,O191,W191,Z191,AJ191,AK191,AL191)</f>
        <v>500</v>
      </c>
      <c r="AV153" s="120">
        <f>SUM(S191,X191,AB191,AG191)</f>
        <v>270</v>
      </c>
      <c r="AW153" s="120"/>
      <c r="AX153" s="118"/>
      <c r="AY153" s="118"/>
      <c r="AZ153" s="118"/>
    </row>
    <row r="154" spans="1:52" ht="13.5" customHeight="1" thickBot="1">
      <c r="A154" s="40"/>
      <c r="B154" s="57"/>
      <c r="C154" s="291"/>
      <c r="D154" s="58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60"/>
      <c r="AO154" s="61"/>
      <c r="AP154" s="40"/>
      <c r="AR154" s="118"/>
      <c r="AS154" s="118"/>
      <c r="AT154" s="118"/>
      <c r="AU154" s="118"/>
      <c r="AV154" s="118"/>
      <c r="AW154" s="118"/>
      <c r="AX154" s="118"/>
      <c r="AY154" s="118"/>
      <c r="AZ154" s="118"/>
    </row>
    <row r="155" spans="1:52" ht="27" customHeight="1" thickBot="1">
      <c r="A155" s="40"/>
      <c r="B155" s="609" t="s">
        <v>1968</v>
      </c>
      <c r="C155" s="610"/>
      <c r="D155" s="610"/>
      <c r="E155" s="180"/>
      <c r="F155" s="181"/>
      <c r="G155" s="181"/>
      <c r="H155" s="181"/>
      <c r="I155" s="181"/>
      <c r="J155" s="181"/>
      <c r="K155" s="181"/>
      <c r="L155" s="181"/>
      <c r="M155" s="181"/>
      <c r="N155" s="181"/>
      <c r="O155" s="181"/>
      <c r="P155" s="181"/>
      <c r="Q155" s="181"/>
      <c r="R155" s="181"/>
      <c r="S155" s="181"/>
      <c r="T155" s="181"/>
      <c r="U155" s="181"/>
      <c r="V155" s="181"/>
      <c r="W155" s="181"/>
      <c r="X155" s="181"/>
      <c r="Y155" s="181"/>
      <c r="Z155" s="182"/>
      <c r="AA155" s="182"/>
      <c r="AB155" s="182"/>
      <c r="AC155" s="182"/>
      <c r="AD155" s="182"/>
      <c r="AE155" s="182"/>
      <c r="AF155" s="182"/>
      <c r="AG155" s="182"/>
      <c r="AH155" s="182"/>
      <c r="AI155" s="226">
        <v>0</v>
      </c>
      <c r="AJ155" s="227">
        <v>3</v>
      </c>
      <c r="AK155" s="228">
        <v>1</v>
      </c>
      <c r="AL155" s="233">
        <v>9</v>
      </c>
      <c r="AM155" s="636" t="s">
        <v>2015</v>
      </c>
      <c r="AN155" s="637"/>
      <c r="AO155" s="638"/>
      <c r="AP155" s="40"/>
      <c r="AR155" s="118"/>
      <c r="AS155" s="118"/>
      <c r="AT155" s="118"/>
      <c r="AU155" s="118"/>
      <c r="AV155" s="118"/>
      <c r="AW155" s="118"/>
      <c r="AX155" s="118"/>
      <c r="AY155" s="118"/>
      <c r="AZ155" s="118"/>
    </row>
    <row r="156" spans="1:52" ht="16.5" customHeight="1">
      <c r="A156" s="40"/>
      <c r="B156" s="611" t="s">
        <v>16</v>
      </c>
      <c r="C156" s="612"/>
      <c r="D156" s="613"/>
      <c r="E156" s="115">
        <v>1</v>
      </c>
      <c r="F156" s="115">
        <v>2</v>
      </c>
      <c r="G156" s="115">
        <v>3</v>
      </c>
      <c r="H156" s="115">
        <v>4</v>
      </c>
      <c r="I156" s="115">
        <v>5</v>
      </c>
      <c r="J156" s="115">
        <v>6</v>
      </c>
      <c r="K156" s="115">
        <v>7</v>
      </c>
      <c r="L156" s="115">
        <v>8</v>
      </c>
      <c r="M156" s="115">
        <v>9</v>
      </c>
      <c r="N156" s="115">
        <v>10</v>
      </c>
      <c r="O156" s="115">
        <v>11</v>
      </c>
      <c r="P156" s="115">
        <v>12</v>
      </c>
      <c r="Q156" s="115">
        <v>13</v>
      </c>
      <c r="R156" s="115">
        <v>14</v>
      </c>
      <c r="S156" s="115">
        <v>15</v>
      </c>
      <c r="T156" s="115">
        <v>16</v>
      </c>
      <c r="U156" s="115">
        <v>17</v>
      </c>
      <c r="V156" s="116">
        <v>18</v>
      </c>
      <c r="W156" s="116">
        <v>19</v>
      </c>
      <c r="X156" s="116">
        <v>20</v>
      </c>
      <c r="Y156" s="116">
        <v>21</v>
      </c>
      <c r="Z156" s="116">
        <v>22</v>
      </c>
      <c r="AA156" s="116">
        <v>23</v>
      </c>
      <c r="AB156" s="116">
        <v>24</v>
      </c>
      <c r="AC156" s="116">
        <v>25</v>
      </c>
      <c r="AD156" s="116">
        <v>26</v>
      </c>
      <c r="AE156" s="116">
        <v>27</v>
      </c>
      <c r="AF156" s="116">
        <v>28</v>
      </c>
      <c r="AG156" s="116">
        <v>29</v>
      </c>
      <c r="AH156" s="116">
        <v>30</v>
      </c>
      <c r="AI156" s="116">
        <v>31</v>
      </c>
      <c r="AJ156" s="116">
        <v>32</v>
      </c>
      <c r="AK156" s="116">
        <v>33</v>
      </c>
      <c r="AL156" s="116">
        <v>34</v>
      </c>
      <c r="AM156" s="639" t="s">
        <v>17</v>
      </c>
      <c r="AN156" s="641" t="s">
        <v>18</v>
      </c>
      <c r="AO156" s="643" t="s">
        <v>19</v>
      </c>
      <c r="AP156" s="40"/>
      <c r="AR156" s="118"/>
      <c r="AS156" s="118"/>
      <c r="AT156" s="118"/>
      <c r="AU156" s="118"/>
      <c r="AV156" s="118"/>
      <c r="AW156" s="118"/>
      <c r="AX156" s="118"/>
      <c r="AY156" s="118"/>
      <c r="AZ156" s="118"/>
    </row>
    <row r="157" spans="1:52" ht="16.5" customHeight="1" thickBot="1">
      <c r="A157" s="40"/>
      <c r="B157" s="614"/>
      <c r="C157" s="615"/>
      <c r="D157" s="616"/>
      <c r="E157" s="117" t="s">
        <v>21</v>
      </c>
      <c r="F157" s="117" t="s">
        <v>20</v>
      </c>
      <c r="G157" s="117" t="s">
        <v>20</v>
      </c>
      <c r="H157" s="117" t="s">
        <v>20</v>
      </c>
      <c r="I157" s="117" t="s">
        <v>21</v>
      </c>
      <c r="J157" s="117" t="s">
        <v>20</v>
      </c>
      <c r="K157" s="117" t="s">
        <v>22</v>
      </c>
      <c r="L157" s="117" t="s">
        <v>20</v>
      </c>
      <c r="M157" s="117" t="s">
        <v>20</v>
      </c>
      <c r="N157" s="117" t="s">
        <v>21</v>
      </c>
      <c r="O157" s="117" t="s">
        <v>22</v>
      </c>
      <c r="P157" s="117" t="s">
        <v>20</v>
      </c>
      <c r="Q157" s="117" t="s">
        <v>20</v>
      </c>
      <c r="R157" s="117" t="s">
        <v>20</v>
      </c>
      <c r="S157" s="117" t="s">
        <v>23</v>
      </c>
      <c r="T157" s="117" t="s">
        <v>21</v>
      </c>
      <c r="U157" s="117" t="s">
        <v>20</v>
      </c>
      <c r="V157" s="117" t="s">
        <v>20</v>
      </c>
      <c r="W157" s="117" t="s">
        <v>22</v>
      </c>
      <c r="X157" s="117" t="s">
        <v>23</v>
      </c>
      <c r="Y157" s="117" t="s">
        <v>20</v>
      </c>
      <c r="Z157" s="117" t="s">
        <v>22</v>
      </c>
      <c r="AA157" s="117" t="s">
        <v>21</v>
      </c>
      <c r="AB157" s="117" t="s">
        <v>23</v>
      </c>
      <c r="AC157" s="117" t="s">
        <v>21</v>
      </c>
      <c r="AD157" s="117" t="s">
        <v>20</v>
      </c>
      <c r="AE157" s="117" t="s">
        <v>20</v>
      </c>
      <c r="AF157" s="117" t="s">
        <v>21</v>
      </c>
      <c r="AG157" s="117" t="s">
        <v>23</v>
      </c>
      <c r="AH157" s="117" t="s">
        <v>20</v>
      </c>
      <c r="AI157" s="117" t="s">
        <v>20</v>
      </c>
      <c r="AJ157" s="117" t="s">
        <v>22</v>
      </c>
      <c r="AK157" s="117" t="s">
        <v>22</v>
      </c>
      <c r="AL157" s="117" t="s">
        <v>22</v>
      </c>
      <c r="AM157" s="640"/>
      <c r="AN157" s="642"/>
      <c r="AO157" s="644"/>
      <c r="AP157" s="40"/>
      <c r="AR157" s="118"/>
      <c r="AS157" s="118"/>
      <c r="AT157" s="118"/>
      <c r="AU157" s="118"/>
      <c r="AV157" s="118"/>
      <c r="AW157" s="118"/>
      <c r="AX157" s="118"/>
      <c r="AY157" s="118"/>
      <c r="AZ157" s="118"/>
    </row>
    <row r="158" spans="1:52" ht="16.5" customHeight="1">
      <c r="A158" s="40"/>
      <c r="B158" s="111">
        <v>1</v>
      </c>
      <c r="C158" s="295" t="s">
        <v>132</v>
      </c>
      <c r="D158" s="112" t="s">
        <v>2083</v>
      </c>
      <c r="E158" s="436">
        <v>40</v>
      </c>
      <c r="F158" s="469" t="s">
        <v>7</v>
      </c>
      <c r="G158" s="469" t="s">
        <v>7</v>
      </c>
      <c r="H158" s="437">
        <v>5</v>
      </c>
      <c r="I158" s="437">
        <v>0</v>
      </c>
      <c r="J158" s="469" t="s">
        <v>7</v>
      </c>
      <c r="K158" s="438">
        <v>150</v>
      </c>
      <c r="L158" s="469" t="s">
        <v>7</v>
      </c>
      <c r="M158" s="469" t="s">
        <v>7</v>
      </c>
      <c r="N158" s="437">
        <v>10</v>
      </c>
      <c r="O158" s="231">
        <v>0</v>
      </c>
      <c r="P158" s="469" t="s">
        <v>7</v>
      </c>
      <c r="Q158" s="469" t="s">
        <v>7</v>
      </c>
      <c r="R158" s="469">
        <v>0</v>
      </c>
      <c r="S158" s="437">
        <v>60</v>
      </c>
      <c r="T158" s="437">
        <v>0</v>
      </c>
      <c r="U158" s="469" t="s">
        <v>7</v>
      </c>
      <c r="V158" s="476" t="s">
        <v>7</v>
      </c>
      <c r="W158" s="208">
        <v>0</v>
      </c>
      <c r="X158" s="469">
        <v>0</v>
      </c>
      <c r="Y158" s="476" t="s">
        <v>7</v>
      </c>
      <c r="Z158" s="208">
        <v>15</v>
      </c>
      <c r="AA158" s="208">
        <v>20</v>
      </c>
      <c r="AB158" s="437">
        <v>0</v>
      </c>
      <c r="AC158" s="208">
        <v>5</v>
      </c>
      <c r="AD158" s="476" t="s">
        <v>7</v>
      </c>
      <c r="AE158" s="476" t="s">
        <v>7</v>
      </c>
      <c r="AF158" s="437">
        <v>30</v>
      </c>
      <c r="AG158" s="476">
        <v>20</v>
      </c>
      <c r="AH158" s="476" t="s">
        <v>7</v>
      </c>
      <c r="AI158" s="476" t="s">
        <v>7</v>
      </c>
      <c r="AJ158" s="437">
        <v>40</v>
      </c>
      <c r="AK158" s="440">
        <v>40</v>
      </c>
      <c r="AL158" s="440">
        <v>15</v>
      </c>
      <c r="AM158" s="205">
        <f t="shared" ref="AM158:AM169" si="25">COUNT(E158:AL158)</f>
        <v>20</v>
      </c>
      <c r="AN158" s="206">
        <f t="shared" ref="AN158:AN172" si="26">IF(ISERROR(AVERAGE(E158:AL158)),0,(AVERAGE(E158:AL158)))</f>
        <v>22.5</v>
      </c>
      <c r="AO158" s="207">
        <f t="shared" ref="AO158:AO172" si="27">SUM(E158:AL158)</f>
        <v>450</v>
      </c>
      <c r="AP158" s="40"/>
      <c r="AR158" s="118"/>
      <c r="AS158" s="118"/>
      <c r="AT158" s="118"/>
      <c r="AU158" s="118"/>
      <c r="AV158" s="118"/>
      <c r="AW158" s="118"/>
      <c r="AX158" s="118"/>
      <c r="AY158" s="118"/>
      <c r="AZ158" s="118"/>
    </row>
    <row r="159" spans="1:52" ht="16.5" customHeight="1">
      <c r="A159" s="40"/>
      <c r="B159" s="113">
        <v>2</v>
      </c>
      <c r="C159" s="296" t="s">
        <v>111</v>
      </c>
      <c r="D159" s="114" t="s">
        <v>2188</v>
      </c>
      <c r="E159" s="466" t="s">
        <v>7</v>
      </c>
      <c r="F159" s="437">
        <v>0</v>
      </c>
      <c r="G159" s="437">
        <v>0</v>
      </c>
      <c r="H159" s="469" t="s">
        <v>7</v>
      </c>
      <c r="I159" s="437">
        <v>30</v>
      </c>
      <c r="J159" s="437">
        <v>5</v>
      </c>
      <c r="K159" s="437">
        <v>10</v>
      </c>
      <c r="L159" s="469" t="s">
        <v>7</v>
      </c>
      <c r="M159" s="469" t="s">
        <v>7</v>
      </c>
      <c r="N159" s="437">
        <v>0</v>
      </c>
      <c r="O159" s="437">
        <v>10</v>
      </c>
      <c r="P159" s="437">
        <v>5</v>
      </c>
      <c r="Q159" s="469" t="s">
        <v>7</v>
      </c>
      <c r="R159" s="469">
        <v>0</v>
      </c>
      <c r="S159" s="437">
        <v>0</v>
      </c>
      <c r="T159" s="469" t="s">
        <v>7</v>
      </c>
      <c r="U159" s="469" t="s">
        <v>7</v>
      </c>
      <c r="V159" s="437">
        <v>0</v>
      </c>
      <c r="W159" s="469" t="s">
        <v>7</v>
      </c>
      <c r="X159" s="437">
        <v>0</v>
      </c>
      <c r="Y159" s="437">
        <v>5</v>
      </c>
      <c r="Z159" s="469" t="s">
        <v>7</v>
      </c>
      <c r="AA159" s="437">
        <v>0</v>
      </c>
      <c r="AB159" s="437">
        <v>15</v>
      </c>
      <c r="AC159" s="437">
        <v>5</v>
      </c>
      <c r="AD159" s="437">
        <v>0</v>
      </c>
      <c r="AE159" s="437">
        <v>0</v>
      </c>
      <c r="AF159" s="437">
        <v>10</v>
      </c>
      <c r="AG159" s="437">
        <v>0</v>
      </c>
      <c r="AH159" s="437">
        <v>5</v>
      </c>
      <c r="AI159" s="437">
        <v>0</v>
      </c>
      <c r="AJ159" s="469" t="s">
        <v>7</v>
      </c>
      <c r="AK159" s="531" t="s">
        <v>7</v>
      </c>
      <c r="AL159" s="531" t="s">
        <v>7</v>
      </c>
      <c r="AM159" s="208">
        <f t="shared" si="25"/>
        <v>22</v>
      </c>
      <c r="AN159" s="209">
        <f t="shared" si="26"/>
        <v>4.5454545454545459</v>
      </c>
      <c r="AO159" s="210">
        <f t="shared" si="27"/>
        <v>100</v>
      </c>
      <c r="AP159" s="40"/>
      <c r="AR159" s="118"/>
      <c r="AS159" s="118"/>
      <c r="AT159" s="118"/>
      <c r="AU159" s="118"/>
      <c r="AV159" s="118"/>
      <c r="AW159" s="118"/>
      <c r="AX159" s="118"/>
      <c r="AY159" s="118"/>
      <c r="AZ159" s="118"/>
    </row>
    <row r="160" spans="1:52" ht="16.5" customHeight="1">
      <c r="A160" s="40"/>
      <c r="B160" s="113">
        <v>3</v>
      </c>
      <c r="C160" s="296" t="s">
        <v>121</v>
      </c>
      <c r="D160" s="114" t="s">
        <v>2117</v>
      </c>
      <c r="E160" s="436">
        <v>40</v>
      </c>
      <c r="F160" s="437">
        <v>0</v>
      </c>
      <c r="G160" s="469" t="s">
        <v>7</v>
      </c>
      <c r="H160" s="469" t="s">
        <v>7</v>
      </c>
      <c r="I160" s="437">
        <v>0</v>
      </c>
      <c r="J160" s="437">
        <v>0</v>
      </c>
      <c r="K160" s="437">
        <v>15</v>
      </c>
      <c r="L160" s="469" t="s">
        <v>7</v>
      </c>
      <c r="M160" s="469" t="s">
        <v>7</v>
      </c>
      <c r="N160" s="437">
        <v>60</v>
      </c>
      <c r="O160" s="437">
        <v>40</v>
      </c>
      <c r="P160" s="437">
        <v>20</v>
      </c>
      <c r="Q160" s="469" t="s">
        <v>7</v>
      </c>
      <c r="R160" s="437">
        <v>10</v>
      </c>
      <c r="S160" s="437">
        <v>60</v>
      </c>
      <c r="T160" s="437">
        <v>5</v>
      </c>
      <c r="U160" s="475" t="s">
        <v>7</v>
      </c>
      <c r="V160" s="469" t="s">
        <v>7</v>
      </c>
      <c r="W160" s="437">
        <v>30</v>
      </c>
      <c r="X160" s="231">
        <v>20</v>
      </c>
      <c r="Y160" s="469" t="s">
        <v>7</v>
      </c>
      <c r="Z160" s="437">
        <v>15</v>
      </c>
      <c r="AA160" s="437">
        <v>5</v>
      </c>
      <c r="AB160" s="437">
        <v>0</v>
      </c>
      <c r="AC160" s="469" t="s">
        <v>7</v>
      </c>
      <c r="AD160" s="469" t="s">
        <v>7</v>
      </c>
      <c r="AE160" s="469" t="s">
        <v>7</v>
      </c>
      <c r="AF160" s="437">
        <v>5</v>
      </c>
      <c r="AG160" s="437">
        <v>60</v>
      </c>
      <c r="AH160" s="469" t="s">
        <v>7</v>
      </c>
      <c r="AI160" s="469" t="s">
        <v>7</v>
      </c>
      <c r="AJ160" s="441">
        <v>10</v>
      </c>
      <c r="AK160" s="441">
        <v>10</v>
      </c>
      <c r="AL160" s="441">
        <v>60</v>
      </c>
      <c r="AM160" s="208">
        <f t="shared" si="25"/>
        <v>21</v>
      </c>
      <c r="AN160" s="209">
        <f t="shared" si="26"/>
        <v>22.142857142857142</v>
      </c>
      <c r="AO160" s="210">
        <f t="shared" si="27"/>
        <v>465</v>
      </c>
      <c r="AP160" s="40"/>
      <c r="AR160" s="118"/>
      <c r="AS160" s="118"/>
      <c r="AT160" s="118"/>
      <c r="AU160" s="118"/>
      <c r="AV160" s="118"/>
      <c r="AW160" s="118"/>
      <c r="AX160" s="118"/>
      <c r="AY160" s="118"/>
      <c r="AZ160" s="118"/>
    </row>
    <row r="161" spans="1:52" ht="16.5" customHeight="1">
      <c r="A161" s="40"/>
      <c r="B161" s="113">
        <v>4</v>
      </c>
      <c r="C161" s="296" t="s">
        <v>135</v>
      </c>
      <c r="D161" s="114" t="s">
        <v>2126</v>
      </c>
      <c r="E161" s="436">
        <v>40</v>
      </c>
      <c r="F161" s="469">
        <v>0</v>
      </c>
      <c r="G161" s="469" t="s">
        <v>7</v>
      </c>
      <c r="H161" s="437">
        <v>15</v>
      </c>
      <c r="I161" s="437">
        <v>5</v>
      </c>
      <c r="J161" s="438">
        <v>75</v>
      </c>
      <c r="K161" s="469">
        <v>0</v>
      </c>
      <c r="L161" s="469" t="s">
        <v>7</v>
      </c>
      <c r="M161" s="469" t="s">
        <v>7</v>
      </c>
      <c r="N161" s="437">
        <v>0</v>
      </c>
      <c r="O161" s="469">
        <v>0</v>
      </c>
      <c r="P161" s="437">
        <v>10</v>
      </c>
      <c r="Q161" s="437">
        <v>5</v>
      </c>
      <c r="R161" s="469" t="s">
        <v>7</v>
      </c>
      <c r="S161" s="437">
        <v>0</v>
      </c>
      <c r="T161" s="437">
        <v>5</v>
      </c>
      <c r="U161" s="437">
        <v>5</v>
      </c>
      <c r="V161" s="469" t="s">
        <v>7</v>
      </c>
      <c r="W161" s="437">
        <v>10</v>
      </c>
      <c r="X161" s="437">
        <v>0</v>
      </c>
      <c r="Y161" s="469" t="s">
        <v>7</v>
      </c>
      <c r="Z161" s="437">
        <v>10</v>
      </c>
      <c r="AA161" s="437">
        <v>10</v>
      </c>
      <c r="AB161" s="437">
        <v>20</v>
      </c>
      <c r="AC161" s="437">
        <v>0</v>
      </c>
      <c r="AD161" s="469" t="s">
        <v>7</v>
      </c>
      <c r="AE161" s="469" t="s">
        <v>7</v>
      </c>
      <c r="AF161" s="437">
        <v>0</v>
      </c>
      <c r="AG161" s="437">
        <v>15</v>
      </c>
      <c r="AH161" s="469" t="s">
        <v>7</v>
      </c>
      <c r="AI161" s="437">
        <v>0</v>
      </c>
      <c r="AJ161" s="441">
        <v>10</v>
      </c>
      <c r="AK161" s="441">
        <v>10</v>
      </c>
      <c r="AL161" s="531" t="s">
        <v>7</v>
      </c>
      <c r="AM161" s="208">
        <f t="shared" si="25"/>
        <v>24</v>
      </c>
      <c r="AN161" s="209">
        <f t="shared" si="26"/>
        <v>10.208333333333334</v>
      </c>
      <c r="AO161" s="210">
        <f t="shared" si="27"/>
        <v>245</v>
      </c>
      <c r="AP161" s="40"/>
      <c r="AR161" s="118"/>
      <c r="AS161" s="118"/>
      <c r="AT161" s="118"/>
      <c r="AU161" s="118"/>
      <c r="AV161" s="118"/>
      <c r="AW161" s="118"/>
      <c r="AX161" s="118"/>
      <c r="AY161" s="118"/>
      <c r="AZ161" s="118"/>
    </row>
    <row r="162" spans="1:52" ht="16.5" customHeight="1">
      <c r="A162" s="40"/>
      <c r="B162" s="113">
        <v>5</v>
      </c>
      <c r="C162" s="296" t="s">
        <v>111</v>
      </c>
      <c r="D162" s="114" t="s">
        <v>2135</v>
      </c>
      <c r="E162" s="437">
        <v>0</v>
      </c>
      <c r="F162" s="437">
        <v>20</v>
      </c>
      <c r="G162" s="437">
        <v>5</v>
      </c>
      <c r="H162" s="469" t="s">
        <v>7</v>
      </c>
      <c r="I162" s="437">
        <v>0</v>
      </c>
      <c r="J162" s="437">
        <v>0</v>
      </c>
      <c r="K162" s="437">
        <v>15</v>
      </c>
      <c r="L162" s="469" t="s">
        <v>7</v>
      </c>
      <c r="M162" s="469" t="s">
        <v>7</v>
      </c>
      <c r="N162" s="437">
        <v>0</v>
      </c>
      <c r="O162" s="437">
        <v>0</v>
      </c>
      <c r="P162" s="469" t="s">
        <v>7</v>
      </c>
      <c r="Q162" s="437">
        <v>0</v>
      </c>
      <c r="R162" s="469" t="s">
        <v>7</v>
      </c>
      <c r="S162" s="232">
        <v>0</v>
      </c>
      <c r="T162" s="437">
        <v>0</v>
      </c>
      <c r="U162" s="469" t="s">
        <v>7</v>
      </c>
      <c r="V162" s="469" t="s">
        <v>7</v>
      </c>
      <c r="W162" s="437">
        <v>0</v>
      </c>
      <c r="X162" s="437">
        <v>0</v>
      </c>
      <c r="Y162" s="469" t="s">
        <v>7</v>
      </c>
      <c r="Z162" s="437">
        <v>10</v>
      </c>
      <c r="AA162" s="437">
        <v>0</v>
      </c>
      <c r="AB162" s="437">
        <v>0</v>
      </c>
      <c r="AC162" s="437">
        <v>0</v>
      </c>
      <c r="AD162" s="437">
        <v>0</v>
      </c>
      <c r="AE162" s="437">
        <v>15</v>
      </c>
      <c r="AF162" s="469" t="s">
        <v>7</v>
      </c>
      <c r="AG162" s="469" t="s">
        <v>7</v>
      </c>
      <c r="AH162" s="437">
        <v>0</v>
      </c>
      <c r="AI162" s="437">
        <v>0</v>
      </c>
      <c r="AJ162" s="469" t="s">
        <v>7</v>
      </c>
      <c r="AK162" s="469" t="s">
        <v>7</v>
      </c>
      <c r="AL162" s="531" t="s">
        <v>7</v>
      </c>
      <c r="AM162" s="208">
        <f t="shared" si="25"/>
        <v>21</v>
      </c>
      <c r="AN162" s="209">
        <f t="shared" si="26"/>
        <v>3.0952380952380953</v>
      </c>
      <c r="AO162" s="210">
        <f t="shared" si="27"/>
        <v>65</v>
      </c>
      <c r="AP162" s="40"/>
      <c r="AR162" s="118"/>
      <c r="AS162" s="118"/>
      <c r="AT162" s="118"/>
      <c r="AU162" s="118"/>
      <c r="AV162" s="118"/>
      <c r="AW162" s="118"/>
      <c r="AX162" s="118"/>
      <c r="AY162" s="118"/>
      <c r="AZ162" s="118"/>
    </row>
    <row r="163" spans="1:52" ht="16.5" customHeight="1">
      <c r="A163" s="40"/>
      <c r="B163" s="113">
        <v>6</v>
      </c>
      <c r="C163" s="296" t="s">
        <v>111</v>
      </c>
      <c r="D163" s="114" t="s">
        <v>2145</v>
      </c>
      <c r="E163" s="466" t="s">
        <v>7</v>
      </c>
      <c r="F163" s="469">
        <v>0</v>
      </c>
      <c r="G163" s="469" t="s">
        <v>7</v>
      </c>
      <c r="H163" s="437">
        <v>15</v>
      </c>
      <c r="I163" s="469" t="s">
        <v>7</v>
      </c>
      <c r="J163" s="469">
        <v>0</v>
      </c>
      <c r="K163" s="469" t="s">
        <v>7</v>
      </c>
      <c r="L163" s="469" t="s">
        <v>7</v>
      </c>
      <c r="M163" s="437">
        <v>10</v>
      </c>
      <c r="N163" s="469" t="s">
        <v>7</v>
      </c>
      <c r="O163" s="469" t="s">
        <v>7</v>
      </c>
      <c r="P163" s="437">
        <v>5</v>
      </c>
      <c r="Q163" s="469" t="s">
        <v>7</v>
      </c>
      <c r="R163" s="469" t="s">
        <v>7</v>
      </c>
      <c r="S163" s="469" t="s">
        <v>7</v>
      </c>
      <c r="T163" s="469" t="s">
        <v>7</v>
      </c>
      <c r="U163" s="469" t="s">
        <v>7</v>
      </c>
      <c r="V163" s="469" t="s">
        <v>7</v>
      </c>
      <c r="W163" s="469" t="s">
        <v>7</v>
      </c>
      <c r="X163" s="469" t="s">
        <v>7</v>
      </c>
      <c r="Y163" s="469" t="s">
        <v>7</v>
      </c>
      <c r="Z163" s="469" t="s">
        <v>7</v>
      </c>
      <c r="AA163" s="469" t="s">
        <v>7</v>
      </c>
      <c r="AB163" s="469" t="s">
        <v>7</v>
      </c>
      <c r="AC163" s="469" t="s">
        <v>7</v>
      </c>
      <c r="AD163" s="469" t="s">
        <v>7</v>
      </c>
      <c r="AE163" s="469" t="s">
        <v>7</v>
      </c>
      <c r="AF163" s="469" t="s">
        <v>7</v>
      </c>
      <c r="AG163" s="469" t="s">
        <v>7</v>
      </c>
      <c r="AH163" s="469" t="s">
        <v>7</v>
      </c>
      <c r="AI163" s="469" t="s">
        <v>7</v>
      </c>
      <c r="AJ163" s="531" t="s">
        <v>7</v>
      </c>
      <c r="AK163" s="469" t="s">
        <v>7</v>
      </c>
      <c r="AL163" s="531" t="s">
        <v>7</v>
      </c>
      <c r="AM163" s="208">
        <f t="shared" si="25"/>
        <v>5</v>
      </c>
      <c r="AN163" s="209">
        <f t="shared" si="26"/>
        <v>6</v>
      </c>
      <c r="AO163" s="210">
        <f t="shared" si="27"/>
        <v>30</v>
      </c>
      <c r="AP163" s="40"/>
      <c r="AR163" s="118"/>
      <c r="AS163" s="118"/>
      <c r="AT163" s="118"/>
      <c r="AU163" s="118"/>
      <c r="AV163" s="118"/>
      <c r="AW163" s="118"/>
      <c r="AX163" s="118"/>
      <c r="AY163" s="118"/>
      <c r="AZ163" s="118"/>
    </row>
    <row r="164" spans="1:52" ht="16.5" customHeight="1">
      <c r="A164" s="40"/>
      <c r="B164" s="113">
        <v>7</v>
      </c>
      <c r="C164" s="296" t="s">
        <v>114</v>
      </c>
      <c r="D164" s="114" t="s">
        <v>2154</v>
      </c>
      <c r="E164" s="436">
        <v>30</v>
      </c>
      <c r="F164" s="437">
        <v>20</v>
      </c>
      <c r="G164" s="437">
        <v>10</v>
      </c>
      <c r="H164" s="469" t="s">
        <v>7</v>
      </c>
      <c r="I164" s="469">
        <v>0</v>
      </c>
      <c r="J164" s="469">
        <v>0</v>
      </c>
      <c r="K164" s="469" t="s">
        <v>7</v>
      </c>
      <c r="L164" s="437">
        <v>5</v>
      </c>
      <c r="M164" s="437">
        <v>0</v>
      </c>
      <c r="N164" s="469" t="s">
        <v>7</v>
      </c>
      <c r="O164" s="469">
        <v>0</v>
      </c>
      <c r="P164" s="469">
        <v>0</v>
      </c>
      <c r="Q164" s="437">
        <v>10</v>
      </c>
      <c r="R164" s="437">
        <v>5</v>
      </c>
      <c r="S164" s="469" t="s">
        <v>7</v>
      </c>
      <c r="T164" s="469" t="s">
        <v>7</v>
      </c>
      <c r="U164" s="469" t="s">
        <v>7</v>
      </c>
      <c r="V164" s="437">
        <v>5</v>
      </c>
      <c r="W164" s="469" t="s">
        <v>7</v>
      </c>
      <c r="X164" s="469">
        <v>20</v>
      </c>
      <c r="Y164" s="437">
        <v>20</v>
      </c>
      <c r="Z164" s="469" t="s">
        <v>7</v>
      </c>
      <c r="AA164" s="469">
        <v>10</v>
      </c>
      <c r="AB164" s="469" t="s">
        <v>7</v>
      </c>
      <c r="AC164" s="437">
        <v>30</v>
      </c>
      <c r="AD164" s="437">
        <v>15</v>
      </c>
      <c r="AE164" s="469" t="s">
        <v>7</v>
      </c>
      <c r="AF164" s="437">
        <v>10</v>
      </c>
      <c r="AG164" s="437">
        <v>15</v>
      </c>
      <c r="AH164" s="469" t="s">
        <v>7</v>
      </c>
      <c r="AI164" s="437">
        <v>15</v>
      </c>
      <c r="AJ164" s="437">
        <v>15</v>
      </c>
      <c r="AK164" s="231">
        <v>40</v>
      </c>
      <c r="AL164" s="437">
        <v>15</v>
      </c>
      <c r="AM164" s="208">
        <f t="shared" si="25"/>
        <v>23</v>
      </c>
      <c r="AN164" s="209">
        <f t="shared" si="26"/>
        <v>12.608695652173912</v>
      </c>
      <c r="AO164" s="210">
        <f t="shared" si="27"/>
        <v>290</v>
      </c>
      <c r="AP164" s="40"/>
      <c r="AR164" s="118"/>
      <c r="AS164" s="118"/>
      <c r="AT164" s="118"/>
      <c r="AU164" s="118"/>
      <c r="AV164" s="118"/>
      <c r="AW164" s="118"/>
      <c r="AX164" s="118"/>
      <c r="AY164" s="118"/>
      <c r="AZ164" s="118"/>
    </row>
    <row r="165" spans="1:52" ht="16.5" customHeight="1">
      <c r="A165" s="40"/>
      <c r="B165" s="113">
        <v>8</v>
      </c>
      <c r="C165" s="296" t="s">
        <v>111</v>
      </c>
      <c r="D165" s="114" t="s">
        <v>2164</v>
      </c>
      <c r="E165" s="466" t="s">
        <v>7</v>
      </c>
      <c r="F165" s="437">
        <v>20</v>
      </c>
      <c r="G165" s="437">
        <v>0</v>
      </c>
      <c r="H165" s="437">
        <v>0</v>
      </c>
      <c r="I165" s="469" t="s">
        <v>7</v>
      </c>
      <c r="J165" s="469">
        <v>0</v>
      </c>
      <c r="K165" s="469" t="s">
        <v>7</v>
      </c>
      <c r="L165" s="437">
        <v>0</v>
      </c>
      <c r="M165" s="437">
        <v>5</v>
      </c>
      <c r="N165" s="469" t="s">
        <v>7</v>
      </c>
      <c r="O165" s="469">
        <v>0</v>
      </c>
      <c r="P165" s="437">
        <v>5</v>
      </c>
      <c r="Q165" s="437">
        <v>0</v>
      </c>
      <c r="R165" s="437">
        <v>25</v>
      </c>
      <c r="S165" s="469" t="s">
        <v>7</v>
      </c>
      <c r="T165" s="469" t="s">
        <v>7</v>
      </c>
      <c r="U165" s="469" t="s">
        <v>7</v>
      </c>
      <c r="V165" s="437">
        <v>0</v>
      </c>
      <c r="W165" s="469" t="s">
        <v>7</v>
      </c>
      <c r="X165" s="469">
        <v>0</v>
      </c>
      <c r="Y165" s="437">
        <v>0</v>
      </c>
      <c r="Z165" s="469" t="s">
        <v>7</v>
      </c>
      <c r="AA165" s="469">
        <v>5</v>
      </c>
      <c r="AB165" s="469" t="s">
        <v>7</v>
      </c>
      <c r="AC165" s="469" t="s">
        <v>7</v>
      </c>
      <c r="AD165" s="437">
        <v>0</v>
      </c>
      <c r="AE165" s="437">
        <v>10</v>
      </c>
      <c r="AF165" s="469" t="s">
        <v>7</v>
      </c>
      <c r="AG165" s="469" t="s">
        <v>7</v>
      </c>
      <c r="AH165" s="437">
        <v>5</v>
      </c>
      <c r="AI165" s="437">
        <v>20</v>
      </c>
      <c r="AJ165" s="469" t="s">
        <v>7</v>
      </c>
      <c r="AK165" s="469" t="s">
        <v>7</v>
      </c>
      <c r="AL165" s="531" t="s">
        <v>7</v>
      </c>
      <c r="AM165" s="208">
        <f t="shared" si="25"/>
        <v>18</v>
      </c>
      <c r="AN165" s="209">
        <f t="shared" si="26"/>
        <v>5.2777777777777777</v>
      </c>
      <c r="AO165" s="210">
        <f t="shared" si="27"/>
        <v>95</v>
      </c>
      <c r="AP165" s="40"/>
      <c r="AR165" s="118"/>
      <c r="AS165" s="118"/>
      <c r="AT165" s="118"/>
      <c r="AU165" s="118"/>
      <c r="AV165" s="118"/>
      <c r="AW165" s="118"/>
      <c r="AX165" s="118"/>
      <c r="AY165" s="118"/>
      <c r="AZ165" s="118"/>
    </row>
    <row r="166" spans="1:52" ht="16.5" customHeight="1">
      <c r="A166" s="40"/>
      <c r="B166" s="113">
        <v>9</v>
      </c>
      <c r="C166" s="296" t="s">
        <v>2189</v>
      </c>
      <c r="D166" s="114" t="s">
        <v>2201</v>
      </c>
      <c r="E166" s="229" t="s">
        <v>7</v>
      </c>
      <c r="F166" s="229">
        <v>0</v>
      </c>
      <c r="G166" s="229">
        <v>0</v>
      </c>
      <c r="H166" s="229">
        <v>15</v>
      </c>
      <c r="I166" s="229" t="s">
        <v>7</v>
      </c>
      <c r="J166" s="229" t="s">
        <v>7</v>
      </c>
      <c r="K166" s="229" t="s">
        <v>7</v>
      </c>
      <c r="L166" s="229">
        <v>45</v>
      </c>
      <c r="M166" s="469" t="s">
        <v>7</v>
      </c>
      <c r="N166" s="469">
        <v>0</v>
      </c>
      <c r="O166" s="437">
        <v>0</v>
      </c>
      <c r="P166" s="469">
        <v>0</v>
      </c>
      <c r="Q166" s="469">
        <v>0</v>
      </c>
      <c r="R166" s="437">
        <v>5</v>
      </c>
      <c r="S166" s="469" t="s">
        <v>7</v>
      </c>
      <c r="T166" s="469" t="s">
        <v>7</v>
      </c>
      <c r="U166" s="469" t="s">
        <v>7</v>
      </c>
      <c r="V166" s="437">
        <v>0</v>
      </c>
      <c r="W166" s="469" t="s">
        <v>7</v>
      </c>
      <c r="X166" s="469" t="s">
        <v>7</v>
      </c>
      <c r="Y166" s="437">
        <v>20</v>
      </c>
      <c r="Z166" s="469" t="s">
        <v>7</v>
      </c>
      <c r="AA166" s="469" t="s">
        <v>7</v>
      </c>
      <c r="AB166" s="469" t="s">
        <v>7</v>
      </c>
      <c r="AC166" s="469" t="s">
        <v>7</v>
      </c>
      <c r="AD166" s="438">
        <v>75</v>
      </c>
      <c r="AE166" s="437">
        <v>0</v>
      </c>
      <c r="AF166" s="469">
        <v>0</v>
      </c>
      <c r="AG166" s="232">
        <v>0</v>
      </c>
      <c r="AH166" s="469" t="s">
        <v>7</v>
      </c>
      <c r="AI166" s="469" t="s">
        <v>7</v>
      </c>
      <c r="AJ166" s="441">
        <v>0</v>
      </c>
      <c r="AK166" s="469" t="s">
        <v>7</v>
      </c>
      <c r="AL166" s="531" t="s">
        <v>7</v>
      </c>
      <c r="AM166" s="208">
        <f t="shared" si="25"/>
        <v>16</v>
      </c>
      <c r="AN166" s="209">
        <f t="shared" si="26"/>
        <v>10</v>
      </c>
      <c r="AO166" s="210">
        <f t="shared" si="27"/>
        <v>160</v>
      </c>
      <c r="AP166" s="40"/>
      <c r="AR166" s="118"/>
      <c r="AS166" s="118"/>
      <c r="AT166" s="118"/>
      <c r="AU166" s="118"/>
      <c r="AV166" s="118"/>
      <c r="AW166" s="118"/>
      <c r="AX166" s="118"/>
      <c r="AY166" s="118"/>
      <c r="AZ166" s="118"/>
    </row>
    <row r="167" spans="1:52" ht="16.5" customHeight="1">
      <c r="A167" s="40"/>
      <c r="B167" s="113">
        <v>10</v>
      </c>
      <c r="C167" s="296" t="s">
        <v>141</v>
      </c>
      <c r="D167" s="114" t="s">
        <v>2183</v>
      </c>
      <c r="E167" s="466" t="s">
        <v>7</v>
      </c>
      <c r="F167" s="469">
        <v>0</v>
      </c>
      <c r="G167" s="437">
        <v>0</v>
      </c>
      <c r="H167" s="437">
        <v>0</v>
      </c>
      <c r="I167" s="469" t="s">
        <v>7</v>
      </c>
      <c r="J167" s="469" t="s">
        <v>7</v>
      </c>
      <c r="K167" s="469" t="s">
        <v>7</v>
      </c>
      <c r="L167" s="437">
        <v>20</v>
      </c>
      <c r="M167" s="437">
        <v>0</v>
      </c>
      <c r="N167" s="469" t="s">
        <v>7</v>
      </c>
      <c r="O167" s="469">
        <v>0</v>
      </c>
      <c r="P167" s="469">
        <v>0</v>
      </c>
      <c r="Q167" s="437">
        <v>25</v>
      </c>
      <c r="R167" s="437">
        <v>15</v>
      </c>
      <c r="S167" s="469" t="s">
        <v>7</v>
      </c>
      <c r="T167" s="469" t="s">
        <v>7</v>
      </c>
      <c r="U167" s="437">
        <v>0</v>
      </c>
      <c r="V167" s="437">
        <v>0</v>
      </c>
      <c r="W167" s="469" t="s">
        <v>7</v>
      </c>
      <c r="X167" s="469" t="s">
        <v>7</v>
      </c>
      <c r="Y167" s="437">
        <v>0</v>
      </c>
      <c r="Z167" s="469" t="s">
        <v>7</v>
      </c>
      <c r="AA167" s="469">
        <v>0</v>
      </c>
      <c r="AB167" s="469" t="s">
        <v>7</v>
      </c>
      <c r="AC167" s="469" t="s">
        <v>7</v>
      </c>
      <c r="AD167" s="469">
        <v>0</v>
      </c>
      <c r="AE167" s="437">
        <v>0</v>
      </c>
      <c r="AF167" s="469">
        <v>0</v>
      </c>
      <c r="AG167" s="469" t="s">
        <v>7</v>
      </c>
      <c r="AH167" s="437">
        <v>0</v>
      </c>
      <c r="AI167" s="469" t="s">
        <v>7</v>
      </c>
      <c r="AJ167" s="531" t="s">
        <v>7</v>
      </c>
      <c r="AK167" s="469" t="s">
        <v>7</v>
      </c>
      <c r="AL167" s="531" t="s">
        <v>7</v>
      </c>
      <c r="AM167" s="208">
        <f t="shared" si="25"/>
        <v>17</v>
      </c>
      <c r="AN167" s="209">
        <f t="shared" si="26"/>
        <v>3.5294117647058822</v>
      </c>
      <c r="AO167" s="210">
        <f t="shared" si="27"/>
        <v>60</v>
      </c>
      <c r="AP167" s="40"/>
      <c r="AR167" s="118"/>
      <c r="AS167" s="118"/>
      <c r="AT167" s="118"/>
      <c r="AU167" s="118"/>
      <c r="AV167" s="118"/>
      <c r="AW167" s="118"/>
      <c r="AX167" s="118"/>
      <c r="AY167" s="118"/>
      <c r="AZ167" s="118"/>
    </row>
    <row r="168" spans="1:52" ht="16.5" customHeight="1">
      <c r="A168" s="40"/>
      <c r="B168" s="381" t="s">
        <v>1979</v>
      </c>
      <c r="C168" s="382" t="s">
        <v>115</v>
      </c>
      <c r="D168" s="383" t="s">
        <v>2084</v>
      </c>
      <c r="E168" s="466" t="s">
        <v>7</v>
      </c>
      <c r="F168" s="469" t="s">
        <v>7</v>
      </c>
      <c r="G168" s="469" t="s">
        <v>7</v>
      </c>
      <c r="H168" s="469" t="s">
        <v>7</v>
      </c>
      <c r="I168" s="469" t="s">
        <v>7</v>
      </c>
      <c r="J168" s="469" t="s">
        <v>7</v>
      </c>
      <c r="K168" s="469" t="s">
        <v>7</v>
      </c>
      <c r="L168" s="469" t="s">
        <v>7</v>
      </c>
      <c r="M168" s="469" t="s">
        <v>7</v>
      </c>
      <c r="N168" s="469" t="s">
        <v>7</v>
      </c>
      <c r="O168" s="469" t="s">
        <v>7</v>
      </c>
      <c r="P168" s="469" t="s">
        <v>7</v>
      </c>
      <c r="Q168" s="469" t="s">
        <v>7</v>
      </c>
      <c r="R168" s="469" t="s">
        <v>7</v>
      </c>
      <c r="S168" s="231">
        <v>0</v>
      </c>
      <c r="T168" s="469" t="s">
        <v>7</v>
      </c>
      <c r="U168" s="469" t="s">
        <v>7</v>
      </c>
      <c r="V168" s="469" t="s">
        <v>7</v>
      </c>
      <c r="W168" s="469" t="s">
        <v>7</v>
      </c>
      <c r="X168" s="437">
        <v>0</v>
      </c>
      <c r="Y168" s="469" t="s">
        <v>7</v>
      </c>
      <c r="Z168" s="469" t="s">
        <v>7</v>
      </c>
      <c r="AA168" s="469" t="s">
        <v>7</v>
      </c>
      <c r="AB168" s="469">
        <v>0</v>
      </c>
      <c r="AC168" s="469" t="s">
        <v>7</v>
      </c>
      <c r="AD168" s="469" t="s">
        <v>7</v>
      </c>
      <c r="AE168" s="469" t="s">
        <v>7</v>
      </c>
      <c r="AF168" s="469" t="s">
        <v>7</v>
      </c>
      <c r="AG168" s="437">
        <v>0</v>
      </c>
      <c r="AH168" s="469" t="s">
        <v>7</v>
      </c>
      <c r="AI168" s="469" t="s">
        <v>7</v>
      </c>
      <c r="AJ168" s="531" t="s">
        <v>7</v>
      </c>
      <c r="AK168" s="531" t="s">
        <v>7</v>
      </c>
      <c r="AL168" s="531" t="s">
        <v>7</v>
      </c>
      <c r="AM168" s="208">
        <f t="shared" si="25"/>
        <v>4</v>
      </c>
      <c r="AN168" s="209">
        <f t="shared" si="26"/>
        <v>0</v>
      </c>
      <c r="AO168" s="210">
        <f t="shared" si="27"/>
        <v>0</v>
      </c>
      <c r="AP168" s="40"/>
      <c r="AR168" s="118"/>
      <c r="AS168" s="118"/>
      <c r="AT168" s="118"/>
      <c r="AU168" s="118"/>
      <c r="AV168" s="118"/>
      <c r="AW168" s="118"/>
      <c r="AX168" s="118"/>
      <c r="AY168" s="118"/>
      <c r="AZ168" s="118"/>
    </row>
    <row r="169" spans="1:52" ht="16.5" customHeight="1" thickBot="1">
      <c r="A169" s="40"/>
      <c r="B169" s="380" t="s">
        <v>1979</v>
      </c>
      <c r="C169" s="379" t="s">
        <v>111</v>
      </c>
      <c r="D169" s="378" t="s">
        <v>2106</v>
      </c>
      <c r="E169" s="466" t="s">
        <v>7</v>
      </c>
      <c r="F169" s="469" t="s">
        <v>7</v>
      </c>
      <c r="G169" s="469" t="s">
        <v>7</v>
      </c>
      <c r="H169" s="469" t="s">
        <v>7</v>
      </c>
      <c r="I169" s="469" t="s">
        <v>7</v>
      </c>
      <c r="J169" s="469" t="s">
        <v>7</v>
      </c>
      <c r="K169" s="469" t="s">
        <v>7</v>
      </c>
      <c r="L169" s="469" t="s">
        <v>7</v>
      </c>
      <c r="M169" s="469" t="s">
        <v>7</v>
      </c>
      <c r="N169" s="469" t="s">
        <v>7</v>
      </c>
      <c r="O169" s="469" t="s">
        <v>7</v>
      </c>
      <c r="P169" s="469" t="s">
        <v>7</v>
      </c>
      <c r="Q169" s="469" t="s">
        <v>7</v>
      </c>
      <c r="R169" s="469" t="s">
        <v>7</v>
      </c>
      <c r="S169" s="469" t="s">
        <v>7</v>
      </c>
      <c r="T169" s="469" t="s">
        <v>7</v>
      </c>
      <c r="U169" s="469" t="s">
        <v>7</v>
      </c>
      <c r="V169" s="469" t="s">
        <v>7</v>
      </c>
      <c r="W169" s="469" t="s">
        <v>7</v>
      </c>
      <c r="X169" s="469" t="s">
        <v>7</v>
      </c>
      <c r="Y169" s="469" t="s">
        <v>7</v>
      </c>
      <c r="Z169" s="469" t="s">
        <v>7</v>
      </c>
      <c r="AA169" s="469" t="s">
        <v>7</v>
      </c>
      <c r="AB169" s="469" t="s">
        <v>7</v>
      </c>
      <c r="AC169" s="469" t="s">
        <v>7</v>
      </c>
      <c r="AD169" s="469" t="s">
        <v>7</v>
      </c>
      <c r="AE169" s="469" t="s">
        <v>7</v>
      </c>
      <c r="AF169" s="469" t="s">
        <v>7</v>
      </c>
      <c r="AG169" s="469" t="s">
        <v>7</v>
      </c>
      <c r="AH169" s="469" t="s">
        <v>7</v>
      </c>
      <c r="AI169" s="469" t="s">
        <v>7</v>
      </c>
      <c r="AJ169" s="531" t="s">
        <v>7</v>
      </c>
      <c r="AK169" s="531" t="s">
        <v>7</v>
      </c>
      <c r="AL169" s="531" t="s">
        <v>7</v>
      </c>
      <c r="AM169" s="211">
        <f t="shared" si="25"/>
        <v>0</v>
      </c>
      <c r="AN169" s="212">
        <f t="shared" si="26"/>
        <v>0</v>
      </c>
      <c r="AO169" s="210">
        <f t="shared" si="27"/>
        <v>0</v>
      </c>
      <c r="AP169" s="40"/>
      <c r="AR169" s="118"/>
      <c r="AS169" s="118"/>
      <c r="AT169" s="118"/>
      <c r="AU169" s="118"/>
      <c r="AV169" s="118"/>
      <c r="AW169" s="118"/>
      <c r="AX169" s="118"/>
      <c r="AY169" s="118"/>
      <c r="AZ169" s="118"/>
    </row>
    <row r="170" spans="1:52" ht="19.5" customHeight="1">
      <c r="A170" s="40"/>
      <c r="B170" s="588" t="s">
        <v>24</v>
      </c>
      <c r="C170" s="589"/>
      <c r="D170" s="590"/>
      <c r="E170" s="213">
        <v>0</v>
      </c>
      <c r="F170" s="214">
        <v>0</v>
      </c>
      <c r="G170" s="214">
        <v>0</v>
      </c>
      <c r="H170" s="214">
        <v>0</v>
      </c>
      <c r="I170" s="214">
        <v>0</v>
      </c>
      <c r="J170" s="214">
        <v>1</v>
      </c>
      <c r="K170" s="214">
        <v>1</v>
      </c>
      <c r="L170" s="214">
        <v>0</v>
      </c>
      <c r="M170" s="214">
        <v>0</v>
      </c>
      <c r="N170" s="214">
        <v>0</v>
      </c>
      <c r="O170" s="214">
        <v>0</v>
      </c>
      <c r="P170" s="214">
        <v>0</v>
      </c>
      <c r="Q170" s="214">
        <v>0</v>
      </c>
      <c r="R170" s="214">
        <v>0</v>
      </c>
      <c r="S170" s="214">
        <v>0</v>
      </c>
      <c r="T170" s="214">
        <v>0</v>
      </c>
      <c r="U170" s="214">
        <v>0</v>
      </c>
      <c r="V170" s="214">
        <v>0</v>
      </c>
      <c r="W170" s="214">
        <v>0</v>
      </c>
      <c r="X170" s="214">
        <v>0</v>
      </c>
      <c r="Y170" s="214">
        <v>0</v>
      </c>
      <c r="Z170" s="214">
        <v>0</v>
      </c>
      <c r="AA170" s="214">
        <v>0</v>
      </c>
      <c r="AB170" s="214">
        <v>0</v>
      </c>
      <c r="AC170" s="214">
        <v>0</v>
      </c>
      <c r="AD170" s="214">
        <v>1</v>
      </c>
      <c r="AE170" s="214">
        <v>0</v>
      </c>
      <c r="AF170" s="214">
        <v>0</v>
      </c>
      <c r="AG170" s="214">
        <v>0</v>
      </c>
      <c r="AH170" s="214">
        <v>0</v>
      </c>
      <c r="AI170" s="214">
        <v>0</v>
      </c>
      <c r="AJ170" s="215">
        <v>0</v>
      </c>
      <c r="AK170" s="215">
        <v>0</v>
      </c>
      <c r="AL170" s="215">
        <v>0</v>
      </c>
      <c r="AM170" s="216" t="s">
        <v>7</v>
      </c>
      <c r="AN170" s="217">
        <f t="shared" si="26"/>
        <v>8.8235294117647065E-2</v>
      </c>
      <c r="AO170" s="218">
        <f t="shared" si="27"/>
        <v>3</v>
      </c>
      <c r="AP170" s="40"/>
      <c r="AR170" s="118"/>
      <c r="AS170" s="118"/>
      <c r="AT170" s="118"/>
      <c r="AU170" s="118"/>
      <c r="AV170" s="118"/>
      <c r="AW170" s="118"/>
      <c r="AX170" s="118"/>
      <c r="AY170" s="118"/>
      <c r="AZ170" s="118"/>
    </row>
    <row r="171" spans="1:52" ht="19.5" customHeight="1">
      <c r="A171" s="40"/>
      <c r="B171" s="598" t="s">
        <v>25</v>
      </c>
      <c r="C171" s="599"/>
      <c r="D171" s="600"/>
      <c r="E171" s="219">
        <v>4</v>
      </c>
      <c r="F171" s="219">
        <v>3</v>
      </c>
      <c r="G171" s="219">
        <v>0</v>
      </c>
      <c r="H171" s="219">
        <v>0</v>
      </c>
      <c r="I171" s="219">
        <v>1</v>
      </c>
      <c r="J171" s="219">
        <v>1</v>
      </c>
      <c r="K171" s="219">
        <v>1</v>
      </c>
      <c r="L171" s="219">
        <v>1</v>
      </c>
      <c r="M171" s="219">
        <v>0</v>
      </c>
      <c r="N171" s="219">
        <v>1</v>
      </c>
      <c r="O171" s="219">
        <v>1</v>
      </c>
      <c r="P171" s="219">
        <v>1</v>
      </c>
      <c r="Q171" s="219">
        <v>1</v>
      </c>
      <c r="R171" s="219">
        <v>1</v>
      </c>
      <c r="S171" s="219">
        <v>2</v>
      </c>
      <c r="T171" s="219">
        <v>0</v>
      </c>
      <c r="U171" s="219">
        <v>0</v>
      </c>
      <c r="V171" s="219">
        <v>0</v>
      </c>
      <c r="W171" s="219">
        <v>0</v>
      </c>
      <c r="X171" s="219">
        <v>0</v>
      </c>
      <c r="Y171" s="219">
        <v>2</v>
      </c>
      <c r="Z171" s="219">
        <v>0</v>
      </c>
      <c r="AA171" s="219">
        <v>1</v>
      </c>
      <c r="AB171" s="219">
        <v>0</v>
      </c>
      <c r="AC171" s="219">
        <v>1</v>
      </c>
      <c r="AD171" s="219">
        <v>1</v>
      </c>
      <c r="AE171" s="219">
        <v>0</v>
      </c>
      <c r="AF171" s="219">
        <v>1</v>
      </c>
      <c r="AG171" s="219">
        <v>1</v>
      </c>
      <c r="AH171" s="219">
        <v>0</v>
      </c>
      <c r="AI171" s="219">
        <v>1</v>
      </c>
      <c r="AJ171" s="220">
        <v>1</v>
      </c>
      <c r="AK171" s="220">
        <v>2</v>
      </c>
      <c r="AL171" s="220">
        <v>1</v>
      </c>
      <c r="AM171" s="220" t="s">
        <v>7</v>
      </c>
      <c r="AN171" s="221">
        <f t="shared" si="26"/>
        <v>0.88235294117647056</v>
      </c>
      <c r="AO171" s="222">
        <f t="shared" si="27"/>
        <v>30</v>
      </c>
      <c r="AP171" s="40"/>
      <c r="AR171" s="118"/>
      <c r="AS171" s="118">
        <f>AS172/16</f>
        <v>41.25</v>
      </c>
      <c r="AT171" s="118">
        <f>AT172/7</f>
        <v>117.14285714285714</v>
      </c>
      <c r="AU171" s="118">
        <f>AU172/7</f>
        <v>171.42857142857142</v>
      </c>
      <c r="AV171" s="118">
        <f>AV172/5</f>
        <v>80</v>
      </c>
      <c r="AW171" s="118"/>
      <c r="AX171" s="118"/>
      <c r="AY171" s="118"/>
      <c r="AZ171" s="118"/>
    </row>
    <row r="172" spans="1:52" ht="21" customHeight="1" thickBot="1">
      <c r="A172" s="40"/>
      <c r="B172" s="595" t="s">
        <v>26</v>
      </c>
      <c r="C172" s="596"/>
      <c r="D172" s="597"/>
      <c r="E172" s="53">
        <v>150</v>
      </c>
      <c r="F172" s="53">
        <v>60</v>
      </c>
      <c r="G172" s="53">
        <v>15</v>
      </c>
      <c r="H172" s="53">
        <v>35</v>
      </c>
      <c r="I172" s="53">
        <v>35</v>
      </c>
      <c r="J172" s="53">
        <v>85</v>
      </c>
      <c r="K172" s="53">
        <v>205</v>
      </c>
      <c r="L172" s="53">
        <v>25</v>
      </c>
      <c r="M172" s="53">
        <v>15</v>
      </c>
      <c r="N172" s="53">
        <v>70</v>
      </c>
      <c r="O172" s="53">
        <v>50</v>
      </c>
      <c r="P172" s="53">
        <v>45</v>
      </c>
      <c r="Q172" s="53">
        <v>40</v>
      </c>
      <c r="R172" s="53">
        <v>60</v>
      </c>
      <c r="S172" s="53">
        <v>120</v>
      </c>
      <c r="T172" s="53">
        <v>10</v>
      </c>
      <c r="U172" s="53">
        <v>5</v>
      </c>
      <c r="V172" s="53">
        <v>5</v>
      </c>
      <c r="W172" s="53">
        <v>40</v>
      </c>
      <c r="X172" s="53">
        <v>40</v>
      </c>
      <c r="Y172" s="53">
        <v>45</v>
      </c>
      <c r="Z172" s="53">
        <v>50</v>
      </c>
      <c r="AA172" s="53">
        <v>35</v>
      </c>
      <c r="AB172" s="53">
        <v>35</v>
      </c>
      <c r="AC172" s="53">
        <v>40</v>
      </c>
      <c r="AD172" s="53">
        <v>90</v>
      </c>
      <c r="AE172" s="53">
        <v>25</v>
      </c>
      <c r="AF172" s="53">
        <v>55</v>
      </c>
      <c r="AG172" s="53">
        <v>90</v>
      </c>
      <c r="AH172" s="53">
        <v>10</v>
      </c>
      <c r="AI172" s="53">
        <v>35</v>
      </c>
      <c r="AJ172" s="54">
        <v>75</v>
      </c>
      <c r="AK172" s="54">
        <v>140</v>
      </c>
      <c r="AL172" s="53">
        <v>90</v>
      </c>
      <c r="AM172" s="55" t="s">
        <v>7</v>
      </c>
      <c r="AN172" s="223">
        <f t="shared" si="26"/>
        <v>56.617647058823529</v>
      </c>
      <c r="AO172" s="56">
        <f t="shared" si="27"/>
        <v>1925</v>
      </c>
      <c r="AP172" s="40"/>
      <c r="AR172" s="118"/>
      <c r="AS172" s="120">
        <f>SUM(F77:H77,J77,L77,M77,P77,Q77,R77,U77,V77,Y77,AD77,AE77,AH77,AI77)</f>
        <v>660</v>
      </c>
      <c r="AT172" s="120">
        <f>SUM(E77,I77,N77,T77,AA77,AC77,AF77)</f>
        <v>820</v>
      </c>
      <c r="AU172" s="120">
        <f>SUM(K77,O77,W77,Z77,AJ77,AK77,AL77)</f>
        <v>1200</v>
      </c>
      <c r="AV172" s="120">
        <f>SUM(S77,X77,AB77,AG77)</f>
        <v>400</v>
      </c>
      <c r="AW172" s="120"/>
      <c r="AX172" s="118"/>
      <c r="AY172" s="118"/>
      <c r="AZ172" s="118"/>
    </row>
    <row r="173" spans="1:52" ht="12.75" customHeight="1" thickBot="1">
      <c r="A173" s="40"/>
      <c r="B173" s="57"/>
      <c r="C173" s="291"/>
      <c r="D173" s="58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60"/>
      <c r="AO173" s="61"/>
      <c r="AP173" s="40"/>
      <c r="AR173" s="118"/>
      <c r="AS173" s="118"/>
      <c r="AT173" s="118"/>
      <c r="AU173" s="118"/>
      <c r="AV173" s="118"/>
      <c r="AW173" s="118"/>
      <c r="AX173" s="118"/>
      <c r="AY173" s="118"/>
      <c r="AZ173" s="118"/>
    </row>
    <row r="174" spans="1:52" ht="27" thickBot="1">
      <c r="A174" s="40"/>
      <c r="B174" s="601" t="s">
        <v>12</v>
      </c>
      <c r="C174" s="602"/>
      <c r="D174" s="602"/>
      <c r="E174" s="323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5"/>
      <c r="AA174" s="325"/>
      <c r="AB174" s="325"/>
      <c r="AC174" s="325"/>
      <c r="AD174" s="325"/>
      <c r="AE174" s="325"/>
      <c r="AF174" s="325"/>
      <c r="AG174" s="325"/>
      <c r="AH174" s="325"/>
      <c r="AI174" s="226">
        <v>1</v>
      </c>
      <c r="AJ174" s="227">
        <v>3</v>
      </c>
      <c r="AK174" s="228">
        <v>1</v>
      </c>
      <c r="AL174" s="233">
        <v>10</v>
      </c>
      <c r="AM174" s="652" t="s">
        <v>2019</v>
      </c>
      <c r="AN174" s="653"/>
      <c r="AO174" s="654"/>
      <c r="AP174" s="40"/>
      <c r="AR174" s="118"/>
      <c r="AS174" s="118"/>
      <c r="AT174" s="118"/>
      <c r="AU174" s="118"/>
      <c r="AV174" s="118"/>
      <c r="AW174" s="118"/>
      <c r="AX174" s="118"/>
      <c r="AY174" s="118"/>
      <c r="AZ174" s="118"/>
    </row>
    <row r="175" spans="1:52" ht="15.75">
      <c r="A175" s="40"/>
      <c r="B175" s="745" t="s">
        <v>16</v>
      </c>
      <c r="C175" s="746"/>
      <c r="D175" s="747"/>
      <c r="E175" s="320">
        <v>1</v>
      </c>
      <c r="F175" s="320">
        <v>2</v>
      </c>
      <c r="G175" s="320">
        <v>3</v>
      </c>
      <c r="H175" s="320">
        <v>4</v>
      </c>
      <c r="I175" s="320">
        <v>5</v>
      </c>
      <c r="J175" s="320">
        <v>6</v>
      </c>
      <c r="K175" s="320">
        <v>7</v>
      </c>
      <c r="L175" s="320">
        <v>8</v>
      </c>
      <c r="M175" s="320">
        <v>9</v>
      </c>
      <c r="N175" s="320">
        <v>10</v>
      </c>
      <c r="O175" s="320">
        <v>11</v>
      </c>
      <c r="P175" s="320">
        <v>12</v>
      </c>
      <c r="Q175" s="320">
        <v>13</v>
      </c>
      <c r="R175" s="320">
        <v>14</v>
      </c>
      <c r="S175" s="320">
        <v>15</v>
      </c>
      <c r="T175" s="320">
        <v>16</v>
      </c>
      <c r="U175" s="320">
        <v>17</v>
      </c>
      <c r="V175" s="321">
        <v>18</v>
      </c>
      <c r="W175" s="321">
        <v>19</v>
      </c>
      <c r="X175" s="321">
        <v>20</v>
      </c>
      <c r="Y175" s="321">
        <v>21</v>
      </c>
      <c r="Z175" s="321">
        <v>22</v>
      </c>
      <c r="AA175" s="321">
        <v>23</v>
      </c>
      <c r="AB175" s="321">
        <v>24</v>
      </c>
      <c r="AC175" s="321">
        <v>25</v>
      </c>
      <c r="AD175" s="321">
        <v>26</v>
      </c>
      <c r="AE175" s="321">
        <v>27</v>
      </c>
      <c r="AF175" s="321">
        <v>28</v>
      </c>
      <c r="AG175" s="321">
        <v>29</v>
      </c>
      <c r="AH175" s="321">
        <v>30</v>
      </c>
      <c r="AI175" s="321">
        <v>31</v>
      </c>
      <c r="AJ175" s="321">
        <v>32</v>
      </c>
      <c r="AK175" s="321">
        <v>33</v>
      </c>
      <c r="AL175" s="321">
        <v>34</v>
      </c>
      <c r="AM175" s="694" t="s">
        <v>17</v>
      </c>
      <c r="AN175" s="692" t="s">
        <v>18</v>
      </c>
      <c r="AO175" s="684" t="s">
        <v>19</v>
      </c>
      <c r="AP175" s="40"/>
      <c r="AR175" s="118"/>
      <c r="AS175" s="118"/>
      <c r="AT175" s="118"/>
      <c r="AU175" s="118"/>
      <c r="AV175" s="118"/>
      <c r="AW175" s="118"/>
      <c r="AX175" s="118"/>
      <c r="AY175" s="118"/>
      <c r="AZ175" s="118"/>
    </row>
    <row r="176" spans="1:52" thickBot="1">
      <c r="A176" s="40"/>
      <c r="B176" s="748"/>
      <c r="C176" s="749"/>
      <c r="D176" s="750"/>
      <c r="E176" s="322" t="s">
        <v>21</v>
      </c>
      <c r="F176" s="322" t="s">
        <v>20</v>
      </c>
      <c r="G176" s="322" t="s">
        <v>20</v>
      </c>
      <c r="H176" s="322" t="s">
        <v>20</v>
      </c>
      <c r="I176" s="322" t="s">
        <v>21</v>
      </c>
      <c r="J176" s="322" t="s">
        <v>20</v>
      </c>
      <c r="K176" s="322" t="s">
        <v>22</v>
      </c>
      <c r="L176" s="322" t="s">
        <v>20</v>
      </c>
      <c r="M176" s="322" t="s">
        <v>20</v>
      </c>
      <c r="N176" s="322" t="s">
        <v>21</v>
      </c>
      <c r="O176" s="322" t="s">
        <v>22</v>
      </c>
      <c r="P176" s="322" t="s">
        <v>20</v>
      </c>
      <c r="Q176" s="322" t="s">
        <v>20</v>
      </c>
      <c r="R176" s="322" t="s">
        <v>20</v>
      </c>
      <c r="S176" s="322" t="s">
        <v>23</v>
      </c>
      <c r="T176" s="322" t="s">
        <v>21</v>
      </c>
      <c r="U176" s="322" t="s">
        <v>20</v>
      </c>
      <c r="V176" s="322" t="s">
        <v>20</v>
      </c>
      <c r="W176" s="322" t="s">
        <v>22</v>
      </c>
      <c r="X176" s="322" t="s">
        <v>23</v>
      </c>
      <c r="Y176" s="322" t="s">
        <v>20</v>
      </c>
      <c r="Z176" s="322" t="s">
        <v>22</v>
      </c>
      <c r="AA176" s="322" t="s">
        <v>21</v>
      </c>
      <c r="AB176" s="322" t="s">
        <v>23</v>
      </c>
      <c r="AC176" s="322" t="s">
        <v>21</v>
      </c>
      <c r="AD176" s="322" t="s">
        <v>20</v>
      </c>
      <c r="AE176" s="322" t="s">
        <v>20</v>
      </c>
      <c r="AF176" s="322" t="s">
        <v>21</v>
      </c>
      <c r="AG176" s="322" t="s">
        <v>23</v>
      </c>
      <c r="AH176" s="322" t="s">
        <v>20</v>
      </c>
      <c r="AI176" s="322" t="s">
        <v>20</v>
      </c>
      <c r="AJ176" s="322" t="s">
        <v>22</v>
      </c>
      <c r="AK176" s="322" t="s">
        <v>22</v>
      </c>
      <c r="AL176" s="322" t="s">
        <v>22</v>
      </c>
      <c r="AM176" s="695"/>
      <c r="AN176" s="693"/>
      <c r="AO176" s="685"/>
      <c r="AP176" s="40"/>
      <c r="AR176" s="118"/>
      <c r="AS176" s="118"/>
      <c r="AT176" s="118"/>
      <c r="AU176" s="118"/>
      <c r="AV176" s="118"/>
      <c r="AW176" s="118"/>
      <c r="AX176" s="118"/>
      <c r="AY176" s="118"/>
      <c r="AZ176" s="118"/>
    </row>
    <row r="177" spans="1:52">
      <c r="A177" s="40"/>
      <c r="B177" s="314">
        <v>1</v>
      </c>
      <c r="C177" s="315" t="s">
        <v>111</v>
      </c>
      <c r="D177" s="316" t="s">
        <v>2076</v>
      </c>
      <c r="E177" s="436">
        <v>20</v>
      </c>
      <c r="F177" s="469" t="s">
        <v>7</v>
      </c>
      <c r="G177" s="437">
        <v>25</v>
      </c>
      <c r="H177" s="469" t="s">
        <v>7</v>
      </c>
      <c r="I177" s="437">
        <v>5</v>
      </c>
      <c r="J177" s="469" t="s">
        <v>7</v>
      </c>
      <c r="K177" s="437">
        <v>50</v>
      </c>
      <c r="L177" s="469" t="s">
        <v>7</v>
      </c>
      <c r="M177" s="469" t="s">
        <v>7</v>
      </c>
      <c r="N177" s="437">
        <v>5</v>
      </c>
      <c r="O177" s="437">
        <v>30</v>
      </c>
      <c r="P177" s="469" t="s">
        <v>7</v>
      </c>
      <c r="Q177" s="469" t="s">
        <v>7</v>
      </c>
      <c r="R177" s="437">
        <v>5</v>
      </c>
      <c r="S177" s="437">
        <v>15</v>
      </c>
      <c r="T177" s="437">
        <v>20</v>
      </c>
      <c r="U177" s="469" t="s">
        <v>7</v>
      </c>
      <c r="V177" s="476" t="s">
        <v>7</v>
      </c>
      <c r="W177" s="208">
        <v>60</v>
      </c>
      <c r="X177" s="231">
        <v>0</v>
      </c>
      <c r="Y177" s="476" t="s">
        <v>7</v>
      </c>
      <c r="Z177" s="208">
        <v>30</v>
      </c>
      <c r="AA177" s="476" t="s">
        <v>7</v>
      </c>
      <c r="AB177" s="437">
        <v>0</v>
      </c>
      <c r="AC177" s="208">
        <v>20</v>
      </c>
      <c r="AD177" s="208">
        <v>5</v>
      </c>
      <c r="AE177" s="476" t="s">
        <v>7</v>
      </c>
      <c r="AF177" s="469" t="s">
        <v>7</v>
      </c>
      <c r="AG177" s="208">
        <v>0</v>
      </c>
      <c r="AH177" s="476" t="s">
        <v>7</v>
      </c>
      <c r="AI177" s="476" t="s">
        <v>7</v>
      </c>
      <c r="AJ177" s="437">
        <v>40</v>
      </c>
      <c r="AK177" s="440">
        <v>10</v>
      </c>
      <c r="AL177" s="440">
        <v>90</v>
      </c>
      <c r="AM177" s="205">
        <f t="shared" ref="AM177:AM188" si="28">COUNT(E177:AL177)</f>
        <v>19</v>
      </c>
      <c r="AN177" s="206">
        <f t="shared" ref="AN177:AN191" si="29">IF(ISERROR(AVERAGE(E177:AL177)),0,(AVERAGE(E177:AL177)))</f>
        <v>22.631578947368421</v>
      </c>
      <c r="AO177" s="207">
        <f t="shared" ref="AO177:AO191" si="30">SUM(E177:AL177)</f>
        <v>430</v>
      </c>
      <c r="AP177" s="40"/>
      <c r="AR177" s="118"/>
      <c r="AS177" s="118"/>
      <c r="AT177" s="118"/>
      <c r="AU177" s="118"/>
      <c r="AV177" s="118"/>
      <c r="AW177" s="118"/>
      <c r="AX177" s="118"/>
      <c r="AY177" s="118"/>
      <c r="AZ177" s="118"/>
    </row>
    <row r="178" spans="1:52">
      <c r="A178" s="40"/>
      <c r="B178" s="317">
        <v>2</v>
      </c>
      <c r="C178" s="318" t="s">
        <v>111</v>
      </c>
      <c r="D178" s="319" t="s">
        <v>2077</v>
      </c>
      <c r="E178" s="436">
        <v>5</v>
      </c>
      <c r="F178" s="469" t="s">
        <v>7</v>
      </c>
      <c r="G178" s="437">
        <v>15</v>
      </c>
      <c r="H178" s="437">
        <v>0</v>
      </c>
      <c r="I178" s="437">
        <v>5</v>
      </c>
      <c r="J178" s="469" t="s">
        <v>7</v>
      </c>
      <c r="K178" s="437">
        <v>15</v>
      </c>
      <c r="L178" s="469" t="s">
        <v>7</v>
      </c>
      <c r="M178" s="469" t="s">
        <v>7</v>
      </c>
      <c r="N178" s="437">
        <v>10</v>
      </c>
      <c r="O178" s="437">
        <v>10</v>
      </c>
      <c r="P178" s="437">
        <v>5</v>
      </c>
      <c r="Q178" s="469" t="s">
        <v>7</v>
      </c>
      <c r="R178" s="469" t="s">
        <v>7</v>
      </c>
      <c r="S178" s="231">
        <v>0</v>
      </c>
      <c r="T178" s="437">
        <v>0</v>
      </c>
      <c r="U178" s="469" t="s">
        <v>7</v>
      </c>
      <c r="V178" s="469" t="s">
        <v>7</v>
      </c>
      <c r="W178" s="437">
        <v>0</v>
      </c>
      <c r="X178" s="437">
        <v>0</v>
      </c>
      <c r="Y178" s="469" t="s">
        <v>7</v>
      </c>
      <c r="Z178" s="469" t="s">
        <v>7</v>
      </c>
      <c r="AA178" s="469" t="s">
        <v>7</v>
      </c>
      <c r="AB178" s="469" t="s">
        <v>7</v>
      </c>
      <c r="AC178" s="469" t="s">
        <v>7</v>
      </c>
      <c r="AD178" s="469" t="s">
        <v>7</v>
      </c>
      <c r="AE178" s="469" t="s">
        <v>7</v>
      </c>
      <c r="AF178" s="469" t="s">
        <v>7</v>
      </c>
      <c r="AG178" s="469" t="s">
        <v>7</v>
      </c>
      <c r="AH178" s="469" t="s">
        <v>7</v>
      </c>
      <c r="AI178" s="469" t="s">
        <v>7</v>
      </c>
      <c r="AJ178" s="469" t="s">
        <v>7</v>
      </c>
      <c r="AK178" s="531" t="s">
        <v>7</v>
      </c>
      <c r="AL178" s="531" t="s">
        <v>7</v>
      </c>
      <c r="AM178" s="208">
        <f t="shared" si="28"/>
        <v>12</v>
      </c>
      <c r="AN178" s="209">
        <f t="shared" si="29"/>
        <v>5.416666666666667</v>
      </c>
      <c r="AO178" s="210">
        <f t="shared" si="30"/>
        <v>65</v>
      </c>
      <c r="AP178" s="40"/>
      <c r="AR178" s="118"/>
      <c r="AS178" s="118"/>
      <c r="AT178" s="118"/>
      <c r="AU178" s="118"/>
      <c r="AV178" s="118"/>
      <c r="AW178" s="118"/>
      <c r="AX178" s="118"/>
      <c r="AY178" s="118"/>
      <c r="AZ178" s="118"/>
    </row>
    <row r="179" spans="1:52">
      <c r="A179" s="40"/>
      <c r="B179" s="317">
        <v>3</v>
      </c>
      <c r="C179" s="318" t="s">
        <v>111</v>
      </c>
      <c r="D179" s="319" t="s">
        <v>2114</v>
      </c>
      <c r="E179" s="436">
        <v>0</v>
      </c>
      <c r="F179" s="437">
        <v>0</v>
      </c>
      <c r="G179" s="437">
        <v>10</v>
      </c>
      <c r="H179" s="469" t="s">
        <v>7</v>
      </c>
      <c r="I179" s="437">
        <v>30</v>
      </c>
      <c r="J179" s="437">
        <v>0</v>
      </c>
      <c r="K179" s="437">
        <v>0</v>
      </c>
      <c r="L179" s="469" t="s">
        <v>7</v>
      </c>
      <c r="M179" s="437">
        <v>10</v>
      </c>
      <c r="N179" s="437">
        <v>0</v>
      </c>
      <c r="O179" s="437">
        <v>10</v>
      </c>
      <c r="P179" s="437">
        <v>30</v>
      </c>
      <c r="Q179" s="469" t="s">
        <v>7</v>
      </c>
      <c r="R179" s="469" t="s">
        <v>7</v>
      </c>
      <c r="S179" s="437">
        <v>0</v>
      </c>
      <c r="T179" s="437">
        <v>5</v>
      </c>
      <c r="U179" s="469" t="s">
        <v>7</v>
      </c>
      <c r="V179" s="469" t="s">
        <v>7</v>
      </c>
      <c r="W179" s="469" t="s">
        <v>7</v>
      </c>
      <c r="X179" s="469" t="s">
        <v>7</v>
      </c>
      <c r="Y179" s="469" t="s">
        <v>7</v>
      </c>
      <c r="Z179" s="469" t="s">
        <v>7</v>
      </c>
      <c r="AA179" s="469" t="s">
        <v>7</v>
      </c>
      <c r="AB179" s="469" t="s">
        <v>7</v>
      </c>
      <c r="AC179" s="469" t="s">
        <v>7</v>
      </c>
      <c r="AD179" s="469" t="s">
        <v>7</v>
      </c>
      <c r="AE179" s="469" t="s">
        <v>7</v>
      </c>
      <c r="AF179" s="469" t="s">
        <v>7</v>
      </c>
      <c r="AG179" s="469" t="s">
        <v>7</v>
      </c>
      <c r="AH179" s="469" t="s">
        <v>7</v>
      </c>
      <c r="AI179" s="469" t="s">
        <v>7</v>
      </c>
      <c r="AJ179" s="531" t="s">
        <v>7</v>
      </c>
      <c r="AK179" s="531" t="s">
        <v>7</v>
      </c>
      <c r="AL179" s="531" t="s">
        <v>7</v>
      </c>
      <c r="AM179" s="208">
        <f t="shared" si="28"/>
        <v>12</v>
      </c>
      <c r="AN179" s="209">
        <f t="shared" si="29"/>
        <v>7.916666666666667</v>
      </c>
      <c r="AO179" s="210">
        <f t="shared" si="30"/>
        <v>95</v>
      </c>
      <c r="AP179" s="40"/>
      <c r="AR179" s="118"/>
      <c r="AS179" s="118"/>
      <c r="AT179" s="118"/>
      <c r="AU179" s="118"/>
      <c r="AV179" s="118"/>
      <c r="AW179" s="118"/>
      <c r="AX179" s="118"/>
      <c r="AY179" s="118"/>
      <c r="AZ179" s="118"/>
    </row>
    <row r="180" spans="1:52">
      <c r="A180" s="40"/>
      <c r="B180" s="317">
        <v>4</v>
      </c>
      <c r="C180" s="318" t="s">
        <v>111</v>
      </c>
      <c r="D180" s="319" t="s">
        <v>2123</v>
      </c>
      <c r="E180" s="466">
        <v>0</v>
      </c>
      <c r="F180" s="437">
        <v>10</v>
      </c>
      <c r="G180" s="469">
        <v>0</v>
      </c>
      <c r="H180" s="469" t="s">
        <v>7</v>
      </c>
      <c r="I180" s="437">
        <v>0</v>
      </c>
      <c r="J180" s="437">
        <v>10</v>
      </c>
      <c r="K180" s="437">
        <v>15</v>
      </c>
      <c r="L180" s="469" t="s">
        <v>7</v>
      </c>
      <c r="M180" s="437">
        <v>5</v>
      </c>
      <c r="N180" s="437">
        <v>5</v>
      </c>
      <c r="O180" s="437">
        <v>0</v>
      </c>
      <c r="P180" s="469" t="s">
        <v>7</v>
      </c>
      <c r="Q180" s="469" t="s">
        <v>7</v>
      </c>
      <c r="R180" s="438">
        <v>75</v>
      </c>
      <c r="S180" s="437">
        <v>15</v>
      </c>
      <c r="T180" s="437">
        <v>60</v>
      </c>
      <c r="U180" s="469" t="s">
        <v>7</v>
      </c>
      <c r="V180" s="469" t="s">
        <v>7</v>
      </c>
      <c r="W180" s="437">
        <v>10</v>
      </c>
      <c r="X180" s="437">
        <v>0</v>
      </c>
      <c r="Y180" s="437">
        <v>5</v>
      </c>
      <c r="Z180" s="437">
        <v>0</v>
      </c>
      <c r="AA180" s="469" t="s">
        <v>7</v>
      </c>
      <c r="AB180" s="437">
        <v>0</v>
      </c>
      <c r="AC180" s="437">
        <v>30</v>
      </c>
      <c r="AD180" s="469" t="s">
        <v>7</v>
      </c>
      <c r="AE180" s="469" t="s">
        <v>7</v>
      </c>
      <c r="AF180" s="437">
        <v>5</v>
      </c>
      <c r="AG180" s="437">
        <v>60</v>
      </c>
      <c r="AH180" s="469" t="s">
        <v>7</v>
      </c>
      <c r="AI180" s="469" t="s">
        <v>7</v>
      </c>
      <c r="AJ180" s="441">
        <v>15</v>
      </c>
      <c r="AK180" s="441">
        <v>15</v>
      </c>
      <c r="AL180" s="231">
        <v>30</v>
      </c>
      <c r="AM180" s="208">
        <f t="shared" si="28"/>
        <v>23</v>
      </c>
      <c r="AN180" s="209">
        <f t="shared" si="29"/>
        <v>15.869565217391305</v>
      </c>
      <c r="AO180" s="210">
        <f t="shared" si="30"/>
        <v>365</v>
      </c>
      <c r="AP180" s="40"/>
      <c r="AR180" s="118"/>
      <c r="AS180" s="118"/>
      <c r="AT180" s="118"/>
      <c r="AU180" s="118"/>
      <c r="AV180" s="118"/>
      <c r="AW180" s="118"/>
      <c r="AX180" s="118"/>
      <c r="AY180" s="118"/>
      <c r="AZ180" s="118"/>
    </row>
    <row r="181" spans="1:52">
      <c r="A181" s="40"/>
      <c r="B181" s="317">
        <v>5</v>
      </c>
      <c r="C181" s="318" t="s">
        <v>111</v>
      </c>
      <c r="D181" s="319" t="s">
        <v>2138</v>
      </c>
      <c r="E181" s="436">
        <v>20</v>
      </c>
      <c r="F181" s="437">
        <v>0</v>
      </c>
      <c r="G181" s="469" t="s">
        <v>7</v>
      </c>
      <c r="H181" s="437">
        <v>0</v>
      </c>
      <c r="I181" s="437">
        <v>20</v>
      </c>
      <c r="J181" s="437">
        <v>0</v>
      </c>
      <c r="K181" s="437">
        <v>0</v>
      </c>
      <c r="L181" s="469" t="s">
        <v>7</v>
      </c>
      <c r="M181" s="437">
        <v>0</v>
      </c>
      <c r="N181" s="437">
        <v>5</v>
      </c>
      <c r="O181" s="437">
        <v>0</v>
      </c>
      <c r="P181" s="469" t="s">
        <v>7</v>
      </c>
      <c r="Q181" s="437">
        <v>0</v>
      </c>
      <c r="R181" s="469" t="s">
        <v>7</v>
      </c>
      <c r="S181" s="469">
        <v>0</v>
      </c>
      <c r="T181" s="469">
        <v>5</v>
      </c>
      <c r="U181" s="469" t="s">
        <v>7</v>
      </c>
      <c r="V181" s="437">
        <v>0</v>
      </c>
      <c r="W181" s="437">
        <v>0</v>
      </c>
      <c r="X181" s="469">
        <v>0</v>
      </c>
      <c r="Y181" s="437">
        <v>5</v>
      </c>
      <c r="Z181" s="437">
        <v>0</v>
      </c>
      <c r="AA181" s="469" t="s">
        <v>7</v>
      </c>
      <c r="AB181" s="469" t="s">
        <v>7</v>
      </c>
      <c r="AC181" s="437">
        <v>10</v>
      </c>
      <c r="AD181" s="437">
        <v>0</v>
      </c>
      <c r="AE181" s="437">
        <v>15</v>
      </c>
      <c r="AF181" s="469" t="s">
        <v>7</v>
      </c>
      <c r="AG181" s="469" t="s">
        <v>7</v>
      </c>
      <c r="AH181" s="437">
        <v>5</v>
      </c>
      <c r="AI181" s="437">
        <v>0</v>
      </c>
      <c r="AJ181" s="469" t="s">
        <v>7</v>
      </c>
      <c r="AK181" s="469" t="s">
        <v>7</v>
      </c>
      <c r="AL181" s="531" t="s">
        <v>7</v>
      </c>
      <c r="AM181" s="208">
        <f t="shared" si="28"/>
        <v>22</v>
      </c>
      <c r="AN181" s="209">
        <f t="shared" si="29"/>
        <v>3.8636363636363638</v>
      </c>
      <c r="AO181" s="210">
        <f t="shared" si="30"/>
        <v>85</v>
      </c>
      <c r="AP181" s="40"/>
      <c r="AR181" s="118"/>
      <c r="AS181" s="118"/>
      <c r="AT181" s="118"/>
      <c r="AU181" s="118"/>
      <c r="AV181" s="118"/>
      <c r="AW181" s="118"/>
      <c r="AX181" s="118"/>
      <c r="AY181" s="118"/>
      <c r="AZ181" s="118"/>
    </row>
    <row r="182" spans="1:52">
      <c r="A182" s="40"/>
      <c r="B182" s="317">
        <v>6</v>
      </c>
      <c r="C182" s="318" t="s">
        <v>111</v>
      </c>
      <c r="D182" s="319" t="s">
        <v>2142</v>
      </c>
      <c r="E182" s="436">
        <v>5</v>
      </c>
      <c r="F182" s="469">
        <v>0</v>
      </c>
      <c r="G182" s="437">
        <v>15</v>
      </c>
      <c r="H182" s="469" t="s">
        <v>7</v>
      </c>
      <c r="I182" s="469">
        <v>0</v>
      </c>
      <c r="J182" s="437">
        <v>10</v>
      </c>
      <c r="K182" s="469">
        <v>10</v>
      </c>
      <c r="L182" s="469" t="s">
        <v>7</v>
      </c>
      <c r="M182" s="469" t="s">
        <v>7</v>
      </c>
      <c r="N182" s="469">
        <v>5</v>
      </c>
      <c r="O182" s="469">
        <v>10</v>
      </c>
      <c r="P182" s="437">
        <v>5</v>
      </c>
      <c r="Q182" s="469" t="s">
        <v>7</v>
      </c>
      <c r="R182" s="437">
        <v>5</v>
      </c>
      <c r="S182" s="232">
        <v>15</v>
      </c>
      <c r="T182" s="437">
        <v>20</v>
      </c>
      <c r="U182" s="437">
        <v>10</v>
      </c>
      <c r="V182" s="469" t="s">
        <v>7</v>
      </c>
      <c r="W182" s="437">
        <v>15</v>
      </c>
      <c r="X182" s="232">
        <v>80</v>
      </c>
      <c r="Y182" s="437">
        <v>5</v>
      </c>
      <c r="Z182" s="437">
        <v>0</v>
      </c>
      <c r="AA182" s="469" t="s">
        <v>7</v>
      </c>
      <c r="AB182" s="437">
        <v>15</v>
      </c>
      <c r="AC182" s="437">
        <v>5</v>
      </c>
      <c r="AD182" s="469" t="s">
        <v>7</v>
      </c>
      <c r="AE182" s="437">
        <v>0</v>
      </c>
      <c r="AF182" s="469" t="s">
        <v>7</v>
      </c>
      <c r="AG182" s="437">
        <v>0</v>
      </c>
      <c r="AH182" s="469" t="s">
        <v>7</v>
      </c>
      <c r="AI182" s="437">
        <v>15</v>
      </c>
      <c r="AJ182" s="441">
        <v>15</v>
      </c>
      <c r="AK182" s="437">
        <v>10</v>
      </c>
      <c r="AL182" s="531" t="s">
        <v>7</v>
      </c>
      <c r="AM182" s="208">
        <f t="shared" si="28"/>
        <v>24</v>
      </c>
      <c r="AN182" s="209">
        <f t="shared" si="29"/>
        <v>11.25</v>
      </c>
      <c r="AO182" s="210">
        <f t="shared" si="30"/>
        <v>270</v>
      </c>
      <c r="AP182" s="40"/>
      <c r="AR182" s="118"/>
      <c r="AS182" s="118"/>
      <c r="AT182" s="118"/>
      <c r="AU182" s="118"/>
      <c r="AV182" s="118"/>
      <c r="AW182" s="118"/>
      <c r="AX182" s="118"/>
      <c r="AY182" s="118"/>
      <c r="AZ182" s="118"/>
    </row>
    <row r="183" spans="1:52">
      <c r="A183" s="40"/>
      <c r="B183" s="317">
        <v>7</v>
      </c>
      <c r="C183" s="318" t="s">
        <v>2189</v>
      </c>
      <c r="D183" s="319" t="s">
        <v>2199</v>
      </c>
      <c r="E183" s="466" t="s">
        <v>7</v>
      </c>
      <c r="F183" s="437">
        <v>5</v>
      </c>
      <c r="G183" s="469">
        <v>0</v>
      </c>
      <c r="H183" s="437">
        <v>0</v>
      </c>
      <c r="I183" s="469">
        <v>5</v>
      </c>
      <c r="J183" s="469">
        <v>0</v>
      </c>
      <c r="K183" s="469" t="s">
        <v>7</v>
      </c>
      <c r="L183" s="437">
        <v>0</v>
      </c>
      <c r="M183" s="437">
        <v>20</v>
      </c>
      <c r="N183" s="469" t="s">
        <v>7</v>
      </c>
      <c r="O183" s="469">
        <v>0</v>
      </c>
      <c r="P183" s="469" t="s">
        <v>7</v>
      </c>
      <c r="Q183" s="469" t="s">
        <v>7</v>
      </c>
      <c r="R183" s="437">
        <v>0</v>
      </c>
      <c r="S183" s="469" t="s">
        <v>7</v>
      </c>
      <c r="T183" s="469" t="s">
        <v>7</v>
      </c>
      <c r="U183" s="469" t="s">
        <v>7</v>
      </c>
      <c r="V183" s="437">
        <v>45</v>
      </c>
      <c r="W183" s="469">
        <v>10</v>
      </c>
      <c r="X183" s="469">
        <v>0</v>
      </c>
      <c r="Y183" s="437">
        <v>5</v>
      </c>
      <c r="Z183" s="469" t="s">
        <v>7</v>
      </c>
      <c r="AA183" s="437">
        <v>0</v>
      </c>
      <c r="AB183" s="437">
        <v>0</v>
      </c>
      <c r="AC183" s="469" t="s">
        <v>7</v>
      </c>
      <c r="AD183" s="437">
        <v>0</v>
      </c>
      <c r="AE183" s="469" t="s">
        <v>7</v>
      </c>
      <c r="AF183" s="437">
        <v>0</v>
      </c>
      <c r="AG183" s="469" t="s">
        <v>7</v>
      </c>
      <c r="AH183" s="437">
        <v>0</v>
      </c>
      <c r="AI183" s="437">
        <v>0</v>
      </c>
      <c r="AJ183" s="437">
        <v>0</v>
      </c>
      <c r="AK183" s="469" t="s">
        <v>7</v>
      </c>
      <c r="AL183" s="469" t="s">
        <v>7</v>
      </c>
      <c r="AM183" s="208">
        <f t="shared" si="28"/>
        <v>20</v>
      </c>
      <c r="AN183" s="209">
        <f t="shared" si="29"/>
        <v>4.5</v>
      </c>
      <c r="AO183" s="210">
        <f t="shared" si="30"/>
        <v>90</v>
      </c>
      <c r="AP183" s="40"/>
      <c r="AR183" s="118"/>
      <c r="AS183" s="118"/>
      <c r="AT183" s="118"/>
      <c r="AU183" s="118"/>
      <c r="AV183" s="118"/>
      <c r="AW183" s="118"/>
      <c r="AX183" s="118"/>
      <c r="AY183" s="118"/>
      <c r="AZ183" s="118"/>
    </row>
    <row r="184" spans="1:52">
      <c r="A184" s="40"/>
      <c r="B184" s="317">
        <v>8</v>
      </c>
      <c r="C184" s="318" t="s">
        <v>127</v>
      </c>
      <c r="D184" s="319" t="s">
        <v>2161</v>
      </c>
      <c r="E184" s="466" t="s">
        <v>7</v>
      </c>
      <c r="F184" s="469" t="s">
        <v>7</v>
      </c>
      <c r="G184" s="469" t="s">
        <v>7</v>
      </c>
      <c r="H184" s="469" t="s">
        <v>7</v>
      </c>
      <c r="I184" s="469" t="s">
        <v>7</v>
      </c>
      <c r="J184" s="437">
        <v>5</v>
      </c>
      <c r="K184" s="469" t="s">
        <v>7</v>
      </c>
      <c r="L184" s="437">
        <v>20</v>
      </c>
      <c r="M184" s="437">
        <v>10</v>
      </c>
      <c r="N184" s="469" t="s">
        <v>7</v>
      </c>
      <c r="O184" s="469">
        <v>0</v>
      </c>
      <c r="P184" s="469">
        <v>0</v>
      </c>
      <c r="Q184" s="437">
        <v>0</v>
      </c>
      <c r="R184" s="469" t="s">
        <v>7</v>
      </c>
      <c r="S184" s="437">
        <v>0</v>
      </c>
      <c r="T184" s="469" t="s">
        <v>7</v>
      </c>
      <c r="U184" s="437">
        <v>45</v>
      </c>
      <c r="V184" s="437">
        <v>0</v>
      </c>
      <c r="W184" s="469" t="s">
        <v>7</v>
      </c>
      <c r="X184" s="437">
        <v>15</v>
      </c>
      <c r="Y184" s="469" t="s">
        <v>7</v>
      </c>
      <c r="Z184" s="469" t="s">
        <v>7</v>
      </c>
      <c r="AA184" s="437">
        <v>0</v>
      </c>
      <c r="AB184" s="469" t="s">
        <v>7</v>
      </c>
      <c r="AC184" s="469" t="s">
        <v>7</v>
      </c>
      <c r="AD184" s="437">
        <v>10</v>
      </c>
      <c r="AE184" s="469" t="s">
        <v>7</v>
      </c>
      <c r="AF184" s="437">
        <v>50</v>
      </c>
      <c r="AG184" s="437">
        <v>40</v>
      </c>
      <c r="AH184" s="469" t="s">
        <v>7</v>
      </c>
      <c r="AI184" s="437">
        <v>0</v>
      </c>
      <c r="AJ184" s="469" t="s">
        <v>7</v>
      </c>
      <c r="AK184" s="469" t="s">
        <v>7</v>
      </c>
      <c r="AL184" s="531" t="s">
        <v>7</v>
      </c>
      <c r="AM184" s="208">
        <f t="shared" si="28"/>
        <v>15</v>
      </c>
      <c r="AN184" s="209">
        <f t="shared" si="29"/>
        <v>13</v>
      </c>
      <c r="AO184" s="210">
        <f t="shared" si="30"/>
        <v>195</v>
      </c>
      <c r="AP184" s="40"/>
      <c r="AR184" s="118"/>
      <c r="AS184" s="118"/>
      <c r="AT184" s="118"/>
      <c r="AU184" s="118" t="s">
        <v>1983</v>
      </c>
      <c r="AV184" s="118"/>
      <c r="AW184" s="118"/>
      <c r="AX184" s="118"/>
      <c r="AY184" s="118"/>
      <c r="AZ184" s="118"/>
    </row>
    <row r="185" spans="1:52">
      <c r="A185" s="40"/>
      <c r="B185" s="317">
        <v>9</v>
      </c>
      <c r="C185" s="318" t="s">
        <v>123</v>
      </c>
      <c r="D185" s="319" t="s">
        <v>2176</v>
      </c>
      <c r="E185" s="466" t="s">
        <v>7</v>
      </c>
      <c r="F185" s="469">
        <v>0</v>
      </c>
      <c r="G185" s="437">
        <v>5</v>
      </c>
      <c r="H185" s="437">
        <v>0</v>
      </c>
      <c r="I185" s="469" t="s">
        <v>7</v>
      </c>
      <c r="J185" s="469">
        <v>0</v>
      </c>
      <c r="K185" s="469" t="s">
        <v>7</v>
      </c>
      <c r="L185" s="437">
        <v>20</v>
      </c>
      <c r="M185" s="469">
        <v>0</v>
      </c>
      <c r="N185" s="469" t="s">
        <v>7</v>
      </c>
      <c r="O185" s="469">
        <v>0</v>
      </c>
      <c r="P185" s="437">
        <v>30</v>
      </c>
      <c r="Q185" s="437">
        <v>5</v>
      </c>
      <c r="R185" s="437">
        <v>25</v>
      </c>
      <c r="S185" s="469" t="s">
        <v>7</v>
      </c>
      <c r="T185" s="469">
        <v>10</v>
      </c>
      <c r="U185" s="469" t="s">
        <v>7</v>
      </c>
      <c r="V185" s="437">
        <v>0</v>
      </c>
      <c r="W185" s="469" t="s">
        <v>7</v>
      </c>
      <c r="X185" s="437">
        <v>15</v>
      </c>
      <c r="Y185" s="437">
        <v>20</v>
      </c>
      <c r="Z185" s="469" t="s">
        <v>7</v>
      </c>
      <c r="AA185" s="437">
        <v>5</v>
      </c>
      <c r="AB185" s="469" t="s">
        <v>7</v>
      </c>
      <c r="AC185" s="469" t="s">
        <v>7</v>
      </c>
      <c r="AD185" s="437">
        <v>0</v>
      </c>
      <c r="AE185" s="437">
        <v>0</v>
      </c>
      <c r="AF185" s="437">
        <v>0</v>
      </c>
      <c r="AG185" s="469" t="s">
        <v>7</v>
      </c>
      <c r="AH185" s="437">
        <v>0</v>
      </c>
      <c r="AI185" s="469">
        <v>0</v>
      </c>
      <c r="AJ185" s="531" t="s">
        <v>7</v>
      </c>
      <c r="AK185" s="469" t="s">
        <v>7</v>
      </c>
      <c r="AL185" s="531" t="s">
        <v>7</v>
      </c>
      <c r="AM185" s="208">
        <f t="shared" si="28"/>
        <v>20</v>
      </c>
      <c r="AN185" s="209">
        <f t="shared" si="29"/>
        <v>6.75</v>
      </c>
      <c r="AO185" s="210">
        <f t="shared" si="30"/>
        <v>135</v>
      </c>
      <c r="AP185" s="40"/>
      <c r="AR185" s="118"/>
      <c r="AS185" s="118"/>
      <c r="AT185" s="118"/>
      <c r="AU185" s="118"/>
      <c r="AV185" s="118"/>
      <c r="AW185" s="118"/>
      <c r="AX185" s="118"/>
      <c r="AY185" s="118"/>
      <c r="AZ185" s="118"/>
    </row>
    <row r="186" spans="1:52">
      <c r="A186" s="40"/>
      <c r="B186" s="317">
        <v>10</v>
      </c>
      <c r="C186" s="318" t="s">
        <v>111</v>
      </c>
      <c r="D186" s="319" t="s">
        <v>2191</v>
      </c>
      <c r="E186" s="466" t="s">
        <v>7</v>
      </c>
      <c r="F186" s="437">
        <v>5</v>
      </c>
      <c r="G186" s="469">
        <v>0</v>
      </c>
      <c r="H186" s="437">
        <v>0</v>
      </c>
      <c r="I186" s="469" t="s">
        <v>7</v>
      </c>
      <c r="J186" s="469">
        <v>0</v>
      </c>
      <c r="K186" s="469" t="s">
        <v>7</v>
      </c>
      <c r="L186" s="437">
        <v>0</v>
      </c>
      <c r="M186" s="469">
        <v>0</v>
      </c>
      <c r="N186" s="469" t="s">
        <v>7</v>
      </c>
      <c r="O186" s="469">
        <v>0</v>
      </c>
      <c r="P186" s="469">
        <v>0</v>
      </c>
      <c r="Q186" s="437">
        <v>0</v>
      </c>
      <c r="R186" s="469">
        <v>0</v>
      </c>
      <c r="S186" s="469" t="s">
        <v>7</v>
      </c>
      <c r="T186" s="469" t="s">
        <v>7</v>
      </c>
      <c r="U186" s="437">
        <v>30</v>
      </c>
      <c r="V186" s="437">
        <v>0</v>
      </c>
      <c r="W186" s="469" t="s">
        <v>7</v>
      </c>
      <c r="X186" s="469" t="s">
        <v>7</v>
      </c>
      <c r="Y186" s="469">
        <v>0</v>
      </c>
      <c r="Z186" s="469" t="s">
        <v>7</v>
      </c>
      <c r="AA186" s="437">
        <v>0</v>
      </c>
      <c r="AB186" s="469" t="s">
        <v>7</v>
      </c>
      <c r="AC186" s="469" t="s">
        <v>7</v>
      </c>
      <c r="AD186" s="469">
        <v>0</v>
      </c>
      <c r="AE186" s="437">
        <v>35</v>
      </c>
      <c r="AF186" s="469" t="s">
        <v>7</v>
      </c>
      <c r="AG186" s="469" t="s">
        <v>7</v>
      </c>
      <c r="AH186" s="437">
        <v>35</v>
      </c>
      <c r="AI186" s="437">
        <v>5</v>
      </c>
      <c r="AJ186" s="531" t="s">
        <v>7</v>
      </c>
      <c r="AK186" s="469" t="s">
        <v>7</v>
      </c>
      <c r="AL186" s="531" t="s">
        <v>7</v>
      </c>
      <c r="AM186" s="208">
        <f t="shared" si="28"/>
        <v>18</v>
      </c>
      <c r="AN186" s="209">
        <f t="shared" si="29"/>
        <v>6.1111111111111107</v>
      </c>
      <c r="AO186" s="210">
        <f t="shared" si="30"/>
        <v>110</v>
      </c>
      <c r="AP186" s="40"/>
      <c r="AR186" s="118"/>
      <c r="AS186" s="118"/>
      <c r="AT186" s="118"/>
      <c r="AU186" s="118"/>
      <c r="AV186" s="118"/>
      <c r="AW186" s="118"/>
      <c r="AX186" s="118"/>
      <c r="AY186" s="118"/>
      <c r="AZ186" s="118"/>
    </row>
    <row r="187" spans="1:52">
      <c r="A187" s="40"/>
      <c r="B187" s="375" t="s">
        <v>1979</v>
      </c>
      <c r="C187" s="376" t="s">
        <v>111</v>
      </c>
      <c r="D187" s="377" t="s">
        <v>2111</v>
      </c>
      <c r="E187" s="466" t="s">
        <v>7</v>
      </c>
      <c r="F187" s="469" t="s">
        <v>7</v>
      </c>
      <c r="G187" s="469" t="s">
        <v>7</v>
      </c>
      <c r="H187" s="469" t="s">
        <v>7</v>
      </c>
      <c r="I187" s="469" t="s">
        <v>7</v>
      </c>
      <c r="J187" s="469" t="s">
        <v>7</v>
      </c>
      <c r="K187" s="469" t="s">
        <v>7</v>
      </c>
      <c r="L187" s="469" t="s">
        <v>7</v>
      </c>
      <c r="M187" s="469" t="s">
        <v>7</v>
      </c>
      <c r="N187" s="469" t="s">
        <v>7</v>
      </c>
      <c r="O187" s="469" t="s">
        <v>7</v>
      </c>
      <c r="P187" s="469" t="s">
        <v>7</v>
      </c>
      <c r="Q187" s="469" t="s">
        <v>7</v>
      </c>
      <c r="R187" s="469" t="s">
        <v>7</v>
      </c>
      <c r="S187" s="469">
        <v>40</v>
      </c>
      <c r="T187" s="469" t="s">
        <v>7</v>
      </c>
      <c r="U187" s="469" t="s">
        <v>7</v>
      </c>
      <c r="V187" s="469" t="s">
        <v>7</v>
      </c>
      <c r="W187" s="469" t="s">
        <v>7</v>
      </c>
      <c r="X187" s="469" t="s">
        <v>7</v>
      </c>
      <c r="Y187" s="469" t="s">
        <v>7</v>
      </c>
      <c r="Z187" s="469" t="s">
        <v>7</v>
      </c>
      <c r="AA187" s="469" t="s">
        <v>7</v>
      </c>
      <c r="AB187" s="469" t="s">
        <v>7</v>
      </c>
      <c r="AC187" s="469" t="s">
        <v>7</v>
      </c>
      <c r="AD187" s="469" t="s">
        <v>7</v>
      </c>
      <c r="AE187" s="469" t="s">
        <v>7</v>
      </c>
      <c r="AF187" s="469" t="s">
        <v>7</v>
      </c>
      <c r="AG187" s="469" t="s">
        <v>7</v>
      </c>
      <c r="AH187" s="469" t="s">
        <v>7</v>
      </c>
      <c r="AI187" s="469" t="s">
        <v>7</v>
      </c>
      <c r="AJ187" s="531" t="s">
        <v>7</v>
      </c>
      <c r="AK187" s="531" t="s">
        <v>7</v>
      </c>
      <c r="AL187" s="531" t="s">
        <v>7</v>
      </c>
      <c r="AM187" s="208">
        <f t="shared" si="28"/>
        <v>1</v>
      </c>
      <c r="AN187" s="209">
        <f t="shared" si="29"/>
        <v>40</v>
      </c>
      <c r="AO187" s="210">
        <f t="shared" si="30"/>
        <v>40</v>
      </c>
      <c r="AP187" s="40"/>
      <c r="AR187" s="118"/>
      <c r="AS187" s="118"/>
      <c r="AT187" s="118"/>
      <c r="AU187" s="118"/>
      <c r="AV187" s="118"/>
      <c r="AW187" s="118"/>
      <c r="AX187" s="118"/>
      <c r="AY187" s="118"/>
      <c r="AZ187" s="118"/>
    </row>
    <row r="188" spans="1:52" ht="17.25" thickBot="1">
      <c r="A188" s="40"/>
      <c r="B188" s="374" t="s">
        <v>1979</v>
      </c>
      <c r="C188" s="373" t="s">
        <v>2189</v>
      </c>
      <c r="D188" s="372" t="s">
        <v>2103</v>
      </c>
      <c r="E188" s="466" t="s">
        <v>7</v>
      </c>
      <c r="F188" s="469" t="s">
        <v>7</v>
      </c>
      <c r="G188" s="469" t="s">
        <v>7</v>
      </c>
      <c r="H188" s="469" t="s">
        <v>7</v>
      </c>
      <c r="I188" s="469" t="s">
        <v>7</v>
      </c>
      <c r="J188" s="469" t="s">
        <v>7</v>
      </c>
      <c r="K188" s="469" t="s">
        <v>7</v>
      </c>
      <c r="L188" s="469" t="s">
        <v>7</v>
      </c>
      <c r="M188" s="469" t="s">
        <v>7</v>
      </c>
      <c r="N188" s="469" t="s">
        <v>7</v>
      </c>
      <c r="O188" s="469" t="s">
        <v>7</v>
      </c>
      <c r="P188" s="469" t="s">
        <v>7</v>
      </c>
      <c r="Q188" s="469" t="s">
        <v>7</v>
      </c>
      <c r="R188" s="469" t="s">
        <v>7</v>
      </c>
      <c r="S188" s="469" t="s">
        <v>7</v>
      </c>
      <c r="T188" s="469" t="s">
        <v>7</v>
      </c>
      <c r="U188" s="469" t="s">
        <v>7</v>
      </c>
      <c r="V188" s="469" t="s">
        <v>7</v>
      </c>
      <c r="W188" s="469" t="s">
        <v>7</v>
      </c>
      <c r="X188" s="469" t="s">
        <v>7</v>
      </c>
      <c r="Y188" s="469" t="s">
        <v>7</v>
      </c>
      <c r="Z188" s="469" t="s">
        <v>7</v>
      </c>
      <c r="AA188" s="469" t="s">
        <v>7</v>
      </c>
      <c r="AB188" s="469" t="s">
        <v>7</v>
      </c>
      <c r="AC188" s="469" t="s">
        <v>7</v>
      </c>
      <c r="AD188" s="469" t="s">
        <v>7</v>
      </c>
      <c r="AE188" s="469" t="s">
        <v>7</v>
      </c>
      <c r="AF188" s="469" t="s">
        <v>7</v>
      </c>
      <c r="AG188" s="437">
        <v>0</v>
      </c>
      <c r="AH188" s="469" t="s">
        <v>7</v>
      </c>
      <c r="AI188" s="469" t="s">
        <v>7</v>
      </c>
      <c r="AJ188" s="531" t="s">
        <v>7</v>
      </c>
      <c r="AK188" s="531" t="s">
        <v>7</v>
      </c>
      <c r="AL188" s="531" t="s">
        <v>7</v>
      </c>
      <c r="AM188" s="211">
        <f t="shared" si="28"/>
        <v>1</v>
      </c>
      <c r="AN188" s="212">
        <f t="shared" si="29"/>
        <v>0</v>
      </c>
      <c r="AO188" s="210">
        <f t="shared" si="30"/>
        <v>0</v>
      </c>
      <c r="AP188" s="40"/>
      <c r="AR188" s="118"/>
      <c r="AS188" s="118"/>
      <c r="AT188" s="118"/>
      <c r="AU188" s="118"/>
      <c r="AV188" s="118"/>
      <c r="AW188" s="118"/>
      <c r="AX188" s="118"/>
      <c r="AY188" s="118"/>
      <c r="AZ188" s="118"/>
    </row>
    <row r="189" spans="1:52" ht="19.5" customHeight="1">
      <c r="A189" s="40"/>
      <c r="B189" s="588" t="s">
        <v>24</v>
      </c>
      <c r="C189" s="589"/>
      <c r="D189" s="590"/>
      <c r="E189" s="213">
        <v>0</v>
      </c>
      <c r="F189" s="214">
        <v>0</v>
      </c>
      <c r="G189" s="214">
        <v>0</v>
      </c>
      <c r="H189" s="214">
        <v>0</v>
      </c>
      <c r="I189" s="214">
        <v>0</v>
      </c>
      <c r="J189" s="214">
        <v>0</v>
      </c>
      <c r="K189" s="214">
        <v>0</v>
      </c>
      <c r="L189" s="214">
        <v>0</v>
      </c>
      <c r="M189" s="214">
        <v>0</v>
      </c>
      <c r="N189" s="214">
        <v>0</v>
      </c>
      <c r="O189" s="214">
        <v>0</v>
      </c>
      <c r="P189" s="214">
        <v>0</v>
      </c>
      <c r="Q189" s="214">
        <v>0</v>
      </c>
      <c r="R189" s="214">
        <v>1</v>
      </c>
      <c r="S189" s="214">
        <v>0</v>
      </c>
      <c r="T189" s="214">
        <v>0</v>
      </c>
      <c r="U189" s="214">
        <v>0</v>
      </c>
      <c r="V189" s="214">
        <v>0</v>
      </c>
      <c r="W189" s="214">
        <v>0</v>
      </c>
      <c r="X189" s="214">
        <v>0</v>
      </c>
      <c r="Y189" s="214">
        <v>0</v>
      </c>
      <c r="Z189" s="214">
        <v>0</v>
      </c>
      <c r="AA189" s="214">
        <v>0</v>
      </c>
      <c r="AB189" s="214">
        <v>0</v>
      </c>
      <c r="AC189" s="214">
        <v>0</v>
      </c>
      <c r="AD189" s="214">
        <v>0</v>
      </c>
      <c r="AE189" s="214">
        <v>0</v>
      </c>
      <c r="AF189" s="214">
        <v>0</v>
      </c>
      <c r="AG189" s="214">
        <v>0</v>
      </c>
      <c r="AH189" s="214">
        <v>0</v>
      </c>
      <c r="AI189" s="214">
        <v>0</v>
      </c>
      <c r="AJ189" s="215">
        <v>0</v>
      </c>
      <c r="AK189" s="215">
        <v>0</v>
      </c>
      <c r="AL189" s="215">
        <v>0</v>
      </c>
      <c r="AM189" s="216" t="s">
        <v>7</v>
      </c>
      <c r="AN189" s="217">
        <f t="shared" si="29"/>
        <v>2.9411764705882353E-2</v>
      </c>
      <c r="AO189" s="218">
        <f t="shared" si="30"/>
        <v>1</v>
      </c>
      <c r="AP189" s="40"/>
      <c r="AR189" s="118"/>
      <c r="AS189" s="118"/>
      <c r="AT189" s="118"/>
      <c r="AU189" s="118"/>
      <c r="AV189" s="118"/>
      <c r="AW189" s="118"/>
      <c r="AX189" s="118"/>
      <c r="AY189" s="118"/>
      <c r="AZ189" s="118"/>
    </row>
    <row r="190" spans="1:52" ht="19.5" customHeight="1">
      <c r="A190" s="40"/>
      <c r="B190" s="598" t="s">
        <v>25</v>
      </c>
      <c r="C190" s="599"/>
      <c r="D190" s="600"/>
      <c r="E190" s="219">
        <v>0</v>
      </c>
      <c r="F190" s="219">
        <v>0</v>
      </c>
      <c r="G190" s="219">
        <v>1</v>
      </c>
      <c r="H190" s="219">
        <v>0</v>
      </c>
      <c r="I190" s="219">
        <v>1</v>
      </c>
      <c r="J190" s="219">
        <v>0</v>
      </c>
      <c r="K190" s="219">
        <v>1</v>
      </c>
      <c r="L190" s="219">
        <v>2</v>
      </c>
      <c r="M190" s="219">
        <v>1</v>
      </c>
      <c r="N190" s="219">
        <v>0</v>
      </c>
      <c r="O190" s="219">
        <v>0</v>
      </c>
      <c r="P190" s="219">
        <v>2</v>
      </c>
      <c r="Q190" s="219">
        <v>0</v>
      </c>
      <c r="R190" s="219">
        <v>2</v>
      </c>
      <c r="S190" s="219">
        <v>0</v>
      </c>
      <c r="T190" s="219">
        <v>1</v>
      </c>
      <c r="U190" s="219">
        <v>2</v>
      </c>
      <c r="V190" s="219">
        <v>0</v>
      </c>
      <c r="W190" s="219">
        <v>1</v>
      </c>
      <c r="X190" s="219">
        <v>1</v>
      </c>
      <c r="Y190" s="219">
        <v>1</v>
      </c>
      <c r="Z190" s="219">
        <v>0</v>
      </c>
      <c r="AA190" s="219">
        <v>0</v>
      </c>
      <c r="AB190" s="219">
        <v>0</v>
      </c>
      <c r="AC190" s="219">
        <v>1</v>
      </c>
      <c r="AD190" s="219">
        <v>0</v>
      </c>
      <c r="AE190" s="219">
        <v>1</v>
      </c>
      <c r="AF190" s="219">
        <v>1</v>
      </c>
      <c r="AG190" s="219">
        <v>1</v>
      </c>
      <c r="AH190" s="219">
        <v>1</v>
      </c>
      <c r="AI190" s="219">
        <v>0</v>
      </c>
      <c r="AJ190" s="220">
        <v>1</v>
      </c>
      <c r="AK190" s="220">
        <v>0</v>
      </c>
      <c r="AL190" s="220">
        <v>1</v>
      </c>
      <c r="AM190" s="220" t="s">
        <v>7</v>
      </c>
      <c r="AN190" s="221">
        <f t="shared" si="29"/>
        <v>0.67647058823529416</v>
      </c>
      <c r="AO190" s="222">
        <f t="shared" si="30"/>
        <v>23</v>
      </c>
      <c r="AP190" s="40"/>
      <c r="AR190" s="118"/>
      <c r="AS190" s="118">
        <f>AS191/16</f>
        <v>38.125</v>
      </c>
      <c r="AT190" s="118">
        <f>AT191/7</f>
        <v>30.714285714285715</v>
      </c>
      <c r="AU190" s="118">
        <f>AU191/7</f>
        <v>87.857142857142861</v>
      </c>
      <c r="AV190" s="118">
        <f>AV191/5</f>
        <v>149</v>
      </c>
      <c r="AW190" s="118"/>
      <c r="AX190" s="118"/>
      <c r="AY190" s="118"/>
      <c r="AZ190" s="118"/>
    </row>
    <row r="191" spans="1:52" ht="21" thickBot="1">
      <c r="A191" s="40"/>
      <c r="B191" s="595" t="s">
        <v>26</v>
      </c>
      <c r="C191" s="596"/>
      <c r="D191" s="597"/>
      <c r="E191" s="53">
        <v>50</v>
      </c>
      <c r="F191" s="53">
        <v>20</v>
      </c>
      <c r="G191" s="53">
        <v>70</v>
      </c>
      <c r="H191" s="53">
        <v>0</v>
      </c>
      <c r="I191" s="53">
        <v>60</v>
      </c>
      <c r="J191" s="53">
        <v>25</v>
      </c>
      <c r="K191" s="53">
        <v>80</v>
      </c>
      <c r="L191" s="53">
        <v>40</v>
      </c>
      <c r="M191" s="53">
        <v>45</v>
      </c>
      <c r="N191" s="53">
        <v>25</v>
      </c>
      <c r="O191" s="53">
        <v>50</v>
      </c>
      <c r="P191" s="53">
        <v>70</v>
      </c>
      <c r="Q191" s="53">
        <v>5</v>
      </c>
      <c r="R191" s="53">
        <v>110</v>
      </c>
      <c r="S191" s="53">
        <v>45</v>
      </c>
      <c r="T191" s="53">
        <v>105</v>
      </c>
      <c r="U191" s="53">
        <v>85</v>
      </c>
      <c r="V191" s="53">
        <v>45</v>
      </c>
      <c r="W191" s="53">
        <v>85</v>
      </c>
      <c r="X191" s="53">
        <v>110</v>
      </c>
      <c r="Y191" s="53">
        <v>40</v>
      </c>
      <c r="Z191" s="53">
        <v>30</v>
      </c>
      <c r="AA191" s="53">
        <v>5</v>
      </c>
      <c r="AB191" s="53">
        <v>15</v>
      </c>
      <c r="AC191" s="53">
        <v>65</v>
      </c>
      <c r="AD191" s="53">
        <v>15</v>
      </c>
      <c r="AE191" s="53">
        <v>50</v>
      </c>
      <c r="AF191" s="53">
        <v>55</v>
      </c>
      <c r="AG191" s="53">
        <v>100</v>
      </c>
      <c r="AH191" s="53">
        <v>45</v>
      </c>
      <c r="AI191" s="53">
        <v>20</v>
      </c>
      <c r="AJ191" s="54">
        <v>70</v>
      </c>
      <c r="AK191" s="54">
        <v>35</v>
      </c>
      <c r="AL191" s="53">
        <v>150</v>
      </c>
      <c r="AM191" s="55" t="s">
        <v>7</v>
      </c>
      <c r="AN191" s="223">
        <f t="shared" si="29"/>
        <v>53.529411764705884</v>
      </c>
      <c r="AO191" s="56">
        <f t="shared" si="30"/>
        <v>1820</v>
      </c>
      <c r="AP191" s="40"/>
      <c r="AR191" s="118"/>
      <c r="AS191" s="120">
        <f>SUM(F134:H134,J134,L134,M134,P134,Q134,R134,U134,V134,Y134,AD134,AE134,AH134,AI134)</f>
        <v>610</v>
      </c>
      <c r="AT191" s="120">
        <f>SUM(E134,I134,N134,T134,AA134,AC134,AF134)</f>
        <v>215</v>
      </c>
      <c r="AU191" s="120">
        <f>SUM(K134,O134,W134,Z134,AJ134,AK134,AL134)</f>
        <v>615</v>
      </c>
      <c r="AV191" s="120">
        <f>SUM(S134,X134,AB134,AG134)</f>
        <v>745</v>
      </c>
      <c r="AW191" s="120"/>
      <c r="AX191" s="118"/>
      <c r="AY191" s="118"/>
      <c r="AZ191" s="118"/>
    </row>
    <row r="192" spans="1:52" ht="2.25" customHeight="1">
      <c r="A192" s="40"/>
      <c r="B192" s="40"/>
      <c r="C192" s="288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1"/>
      <c r="AO192" s="40"/>
      <c r="AP192" s="40"/>
      <c r="AR192" s="118"/>
      <c r="AS192" s="118"/>
      <c r="AT192" s="118"/>
      <c r="AU192" s="118"/>
      <c r="AV192" s="118"/>
      <c r="AW192" s="118"/>
      <c r="AX192" s="118"/>
      <c r="AY192" s="118"/>
      <c r="AZ192" s="118"/>
    </row>
    <row r="193" spans="44:52">
      <c r="AR193" s="118"/>
      <c r="AS193" s="118"/>
      <c r="AT193" s="118"/>
      <c r="AU193" s="118"/>
      <c r="AV193" s="118"/>
      <c r="AW193" s="118"/>
      <c r="AX193" s="118"/>
      <c r="AY193" s="118"/>
      <c r="AZ193" s="118"/>
    </row>
    <row r="194" spans="44:52">
      <c r="AR194" s="118"/>
      <c r="AS194" s="118"/>
      <c r="AT194" s="118"/>
      <c r="AU194" s="118"/>
      <c r="AV194" s="118"/>
      <c r="AW194" s="118"/>
      <c r="AX194" s="118"/>
      <c r="AY194" s="118"/>
      <c r="AZ194" s="118"/>
    </row>
    <row r="195" spans="44:52">
      <c r="AR195" s="118"/>
      <c r="AS195" s="118"/>
      <c r="AT195" s="118"/>
      <c r="AU195" s="118"/>
      <c r="AV195" s="118"/>
      <c r="AW195" s="118"/>
      <c r="AX195" s="118"/>
      <c r="AY195" s="118"/>
      <c r="AZ195" s="118"/>
    </row>
    <row r="223" spans="49:82">
      <c r="AW223" s="72">
        <v>1</v>
      </c>
      <c r="AX223" s="72">
        <v>2</v>
      </c>
      <c r="AY223" s="72">
        <v>3</v>
      </c>
      <c r="AZ223" s="72">
        <v>4</v>
      </c>
      <c r="BA223" s="72">
        <v>5</v>
      </c>
      <c r="BB223" s="72">
        <v>6</v>
      </c>
      <c r="BC223" s="72">
        <v>7</v>
      </c>
      <c r="BD223" s="72">
        <v>8</v>
      </c>
      <c r="BE223" s="72">
        <v>9</v>
      </c>
      <c r="BF223" s="72">
        <v>10</v>
      </c>
      <c r="BG223" s="72">
        <v>11</v>
      </c>
      <c r="BH223" s="72">
        <v>12</v>
      </c>
      <c r="BI223" s="72">
        <v>13</v>
      </c>
      <c r="BJ223" s="72">
        <v>14</v>
      </c>
      <c r="BK223" s="72">
        <v>15</v>
      </c>
      <c r="BL223" s="72">
        <v>16</v>
      </c>
      <c r="BM223" s="72">
        <v>17</v>
      </c>
      <c r="BN223" s="72">
        <v>18</v>
      </c>
      <c r="BO223" s="72">
        <v>19</v>
      </c>
      <c r="BP223" s="72">
        <v>20</v>
      </c>
      <c r="BQ223" s="72">
        <v>21</v>
      </c>
      <c r="BR223" s="72">
        <v>22</v>
      </c>
      <c r="BS223" s="72">
        <v>23</v>
      </c>
      <c r="BT223" s="72">
        <v>24</v>
      </c>
      <c r="BU223" s="72">
        <v>25</v>
      </c>
      <c r="BV223" s="72">
        <v>26</v>
      </c>
      <c r="BW223" s="72">
        <v>27</v>
      </c>
      <c r="BX223" s="72">
        <v>28</v>
      </c>
      <c r="BY223" s="72">
        <v>29</v>
      </c>
      <c r="BZ223" s="72">
        <v>30</v>
      </c>
      <c r="CA223" s="72">
        <v>31</v>
      </c>
      <c r="CB223" s="72">
        <v>32</v>
      </c>
      <c r="CC223" s="72">
        <v>33</v>
      </c>
      <c r="CD223" s="72">
        <v>34</v>
      </c>
    </row>
    <row r="224" spans="49:82">
      <c r="AW224" s="72" t="s">
        <v>21</v>
      </c>
      <c r="AX224" s="72" t="s">
        <v>20</v>
      </c>
      <c r="AY224" s="72" t="s">
        <v>20</v>
      </c>
      <c r="AZ224" s="72" t="s">
        <v>21</v>
      </c>
      <c r="BA224" s="72" t="s">
        <v>21</v>
      </c>
      <c r="BB224" s="72" t="s">
        <v>21</v>
      </c>
      <c r="BC224" s="72" t="s">
        <v>22</v>
      </c>
      <c r="BD224" s="72" t="s">
        <v>21</v>
      </c>
      <c r="BE224" s="72" t="s">
        <v>22</v>
      </c>
      <c r="BF224" s="72" t="s">
        <v>22</v>
      </c>
      <c r="BG224" s="72" t="s">
        <v>20</v>
      </c>
      <c r="BH224" s="72" t="s">
        <v>22</v>
      </c>
      <c r="BI224" s="72" t="s">
        <v>20</v>
      </c>
      <c r="BJ224" s="72" t="s">
        <v>23</v>
      </c>
      <c r="BK224" s="72" t="s">
        <v>21</v>
      </c>
      <c r="BL224" s="72" t="s">
        <v>21</v>
      </c>
      <c r="BM224" s="72" t="s">
        <v>20</v>
      </c>
      <c r="BN224" s="72" t="s">
        <v>21</v>
      </c>
      <c r="BO224" s="72" t="s">
        <v>21</v>
      </c>
      <c r="BP224" s="72" t="s">
        <v>23</v>
      </c>
      <c r="BQ224" s="72" t="s">
        <v>21</v>
      </c>
      <c r="BR224" s="72" t="s">
        <v>22</v>
      </c>
      <c r="BS224" s="72" t="s">
        <v>21</v>
      </c>
      <c r="BT224" s="72" t="s">
        <v>23</v>
      </c>
      <c r="BU224" s="72" t="s">
        <v>21</v>
      </c>
      <c r="BV224" s="72" t="s">
        <v>20</v>
      </c>
      <c r="BW224" s="72" t="s">
        <v>21</v>
      </c>
      <c r="BX224" s="72" t="s">
        <v>23</v>
      </c>
      <c r="BY224" s="72" t="s">
        <v>20</v>
      </c>
      <c r="BZ224" s="72" t="s">
        <v>20</v>
      </c>
      <c r="CA224" s="72" t="s">
        <v>20</v>
      </c>
      <c r="CB224" s="72" t="s">
        <v>22</v>
      </c>
      <c r="CC224" s="72" t="s">
        <v>22</v>
      </c>
      <c r="CD224" s="72" t="s">
        <v>22</v>
      </c>
    </row>
    <row r="225" spans="49:82">
      <c r="AW225" s="72">
        <f t="shared" ref="AW225:BP225" si="31">AVERAGE(E96,E134,E191,E20,E153,E77,E39,E115,E172,E58)</f>
        <v>90.5</v>
      </c>
      <c r="AX225" s="72">
        <f t="shared" si="31"/>
        <v>45.5</v>
      </c>
      <c r="AY225" s="72">
        <f t="shared" si="31"/>
        <v>47</v>
      </c>
      <c r="AZ225" s="72">
        <f t="shared" si="31"/>
        <v>36.5</v>
      </c>
      <c r="BA225" s="72">
        <f t="shared" si="31"/>
        <v>70.5</v>
      </c>
      <c r="BB225" s="72">
        <f t="shared" si="31"/>
        <v>50</v>
      </c>
      <c r="BC225" s="72">
        <f t="shared" si="31"/>
        <v>108</v>
      </c>
      <c r="BD225" s="72">
        <f t="shared" si="31"/>
        <v>23.5</v>
      </c>
      <c r="BE225" s="72">
        <f t="shared" si="31"/>
        <v>41</v>
      </c>
      <c r="BF225" s="72">
        <f t="shared" si="31"/>
        <v>68.5</v>
      </c>
      <c r="BG225" s="72">
        <f t="shared" si="31"/>
        <v>84.5</v>
      </c>
      <c r="BH225" s="72">
        <f t="shared" si="31"/>
        <v>38.5</v>
      </c>
      <c r="BI225" s="72">
        <f t="shared" si="31"/>
        <v>41.5</v>
      </c>
      <c r="BJ225" s="72">
        <f t="shared" si="31"/>
        <v>40</v>
      </c>
      <c r="BK225" s="72">
        <f t="shared" si="31"/>
        <v>209.5</v>
      </c>
      <c r="BL225" s="72">
        <f t="shared" si="31"/>
        <v>78</v>
      </c>
      <c r="BM225" s="72">
        <f t="shared" si="31"/>
        <v>52</v>
      </c>
      <c r="BN225" s="72">
        <f t="shared" si="31"/>
        <v>42</v>
      </c>
      <c r="BO225" s="72">
        <f t="shared" si="31"/>
        <v>105</v>
      </c>
      <c r="BP225" s="72">
        <f t="shared" si="31"/>
        <v>156.5</v>
      </c>
      <c r="BQ225" s="72"/>
      <c r="BR225" s="72"/>
      <c r="BS225" s="72"/>
      <c r="BT225" s="72"/>
      <c r="BU225" s="72"/>
      <c r="BV225" s="72"/>
      <c r="BW225" s="234"/>
      <c r="BX225" s="234"/>
      <c r="BY225" s="234"/>
      <c r="BZ225" s="234"/>
      <c r="CA225" s="234"/>
      <c r="CB225" s="72"/>
      <c r="CC225" s="72"/>
      <c r="CD225" s="72"/>
    </row>
  </sheetData>
  <mergeCells count="91">
    <mergeCell ref="AO42:AO43"/>
    <mergeCell ref="B191:D191"/>
    <mergeCell ref="B60:D60"/>
    <mergeCell ref="B61:D62"/>
    <mergeCell ref="B189:D189"/>
    <mergeCell ref="B190:D190"/>
    <mergeCell ref="B114:D114"/>
    <mergeCell ref="B175:D176"/>
    <mergeCell ref="B99:D100"/>
    <mergeCell ref="B115:D115"/>
    <mergeCell ref="B152:D152"/>
    <mergeCell ref="B151:D151"/>
    <mergeCell ref="B2:AO2"/>
    <mergeCell ref="B118:D119"/>
    <mergeCell ref="AO118:AO119"/>
    <mergeCell ref="B117:D117"/>
    <mergeCell ref="B96:D96"/>
    <mergeCell ref="B80:D81"/>
    <mergeCell ref="B94:D94"/>
    <mergeCell ref="B95:D95"/>
    <mergeCell ref="AM118:AM119"/>
    <mergeCell ref="B56:D56"/>
    <mergeCell ref="B57:D57"/>
    <mergeCell ref="B58:D58"/>
    <mergeCell ref="B4:D5"/>
    <mergeCell ref="B3:D3"/>
    <mergeCell ref="AM23:AM24"/>
    <mergeCell ref="AO61:AO62"/>
    <mergeCell ref="AO175:AO176"/>
    <mergeCell ref="AN80:AN81"/>
    <mergeCell ref="AO80:AO81"/>
    <mergeCell ref="AM80:AM81"/>
    <mergeCell ref="AN175:AN176"/>
    <mergeCell ref="AM175:AM176"/>
    <mergeCell ref="AM174:AO174"/>
    <mergeCell ref="AO4:AO5"/>
    <mergeCell ref="AM98:AO98"/>
    <mergeCell ref="AO137:AO138"/>
    <mergeCell ref="AN118:AN119"/>
    <mergeCell ref="AM79:AO79"/>
    <mergeCell ref="AO23:AO24"/>
    <mergeCell ref="AN23:AN24"/>
    <mergeCell ref="AM137:AM138"/>
    <mergeCell ref="AN137:AN138"/>
    <mergeCell ref="AM22:AO22"/>
    <mergeCell ref="AO99:AO100"/>
    <mergeCell ref="AN99:AN100"/>
    <mergeCell ref="AM99:AM100"/>
    <mergeCell ref="AM41:AO41"/>
    <mergeCell ref="AM42:AM43"/>
    <mergeCell ref="AM155:AO155"/>
    <mergeCell ref="AM156:AM157"/>
    <mergeCell ref="AN156:AN157"/>
    <mergeCell ref="AO156:AO157"/>
    <mergeCell ref="AM117:AO117"/>
    <mergeCell ref="B20:D20"/>
    <mergeCell ref="B137:D138"/>
    <mergeCell ref="AM3:AO3"/>
    <mergeCell ref="AM136:AO136"/>
    <mergeCell ref="AM61:AM62"/>
    <mergeCell ref="AN61:AN62"/>
    <mergeCell ref="AM60:AO60"/>
    <mergeCell ref="AN4:AN5"/>
    <mergeCell ref="AM4:AM5"/>
    <mergeCell ref="B136:D136"/>
    <mergeCell ref="B79:D79"/>
    <mergeCell ref="B18:D18"/>
    <mergeCell ref="B19:D19"/>
    <mergeCell ref="B41:D41"/>
    <mergeCell ref="B42:D43"/>
    <mergeCell ref="AN42:AN43"/>
    <mergeCell ref="B174:D174"/>
    <mergeCell ref="B23:D24"/>
    <mergeCell ref="B113:D113"/>
    <mergeCell ref="B133:D133"/>
    <mergeCell ref="B134:D134"/>
    <mergeCell ref="B170:D170"/>
    <mergeCell ref="B171:D171"/>
    <mergeCell ref="B172:D172"/>
    <mergeCell ref="B155:D155"/>
    <mergeCell ref="B156:D157"/>
    <mergeCell ref="B77:D77"/>
    <mergeCell ref="B75:D75"/>
    <mergeCell ref="B76:D76"/>
    <mergeCell ref="B132:D132"/>
    <mergeCell ref="B153:D153"/>
    <mergeCell ref="B37:D37"/>
    <mergeCell ref="B22:D22"/>
    <mergeCell ref="B98:D98"/>
    <mergeCell ref="B39:D39"/>
    <mergeCell ref="B38:D38"/>
  </mergeCells>
  <pageMargins left="0.7" right="0.7" top="0.75" bottom="0.75" header="0.3" footer="0.3"/>
  <pageSetup orientation="portrait" horizontalDpi="300" verticalDpi="300" r:id="rId1"/>
  <customProperties>
    <customPr name="EpmWorksheetKeyString_GU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16"/>
  <sheetViews>
    <sheetView zoomScale="115" zoomScaleNormal="115" workbookViewId="0">
      <selection activeCell="N8" sqref="A1:N8"/>
    </sheetView>
  </sheetViews>
  <sheetFormatPr defaultColWidth="9.140625" defaultRowHeight="14.25"/>
  <cols>
    <col min="1" max="1" width="0.42578125" style="6" customWidth="1"/>
    <col min="2" max="2" width="27" style="6" customWidth="1"/>
    <col min="3" max="12" width="18.7109375" style="6" customWidth="1"/>
    <col min="13" max="13" width="22.7109375" style="6" customWidth="1"/>
    <col min="14" max="14" width="0.28515625" style="6" customWidth="1"/>
    <col min="15" max="16" width="10.7109375" style="6" bestFit="1" customWidth="1"/>
    <col min="17" max="16384" width="9.140625" style="6"/>
  </cols>
  <sheetData>
    <row r="1" spans="1:16" ht="2.2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6" ht="43.5" customHeight="1" thickBot="1">
      <c r="A2" s="5"/>
      <c r="B2" s="774" t="s">
        <v>27</v>
      </c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6"/>
      <c r="N2" s="5"/>
    </row>
    <row r="3" spans="1:16" ht="24" thickBot="1">
      <c r="A3" s="5"/>
      <c r="B3" s="19" t="s">
        <v>28</v>
      </c>
      <c r="C3" s="20" t="s">
        <v>11</v>
      </c>
      <c r="D3" s="20" t="s">
        <v>8</v>
      </c>
      <c r="E3" s="20" t="s">
        <v>1969</v>
      </c>
      <c r="F3" s="20" t="s">
        <v>13</v>
      </c>
      <c r="G3" s="20" t="s">
        <v>104</v>
      </c>
      <c r="H3" s="20" t="s">
        <v>14</v>
      </c>
      <c r="I3" s="20" t="s">
        <v>9</v>
      </c>
      <c r="J3" s="20" t="s">
        <v>10</v>
      </c>
      <c r="K3" s="20" t="s">
        <v>1968</v>
      </c>
      <c r="L3" s="20" t="s">
        <v>12</v>
      </c>
      <c r="M3" s="21" t="s">
        <v>29</v>
      </c>
      <c r="N3" s="5"/>
    </row>
    <row r="4" spans="1:16" ht="23.25" customHeight="1">
      <c r="A4" s="5"/>
      <c r="B4" s="163" t="s">
        <v>2270</v>
      </c>
      <c r="C4" s="559">
        <v>53.13</v>
      </c>
      <c r="D4" s="164">
        <v>46.87</v>
      </c>
      <c r="E4" s="164">
        <v>44.06</v>
      </c>
      <c r="F4" s="169">
        <v>41.25</v>
      </c>
      <c r="G4" s="169">
        <v>40.619999999999997</v>
      </c>
      <c r="H4" s="560">
        <v>30</v>
      </c>
      <c r="I4" s="169">
        <v>38.130000000000003</v>
      </c>
      <c r="J4" s="164">
        <v>33.43</v>
      </c>
      <c r="K4" s="164">
        <v>37.18</v>
      </c>
      <c r="L4" s="169">
        <v>42.81</v>
      </c>
      <c r="M4" s="310">
        <v>40.700000000000003</v>
      </c>
      <c r="N4" s="5"/>
    </row>
    <row r="5" spans="1:16" ht="23.25" customHeight="1">
      <c r="A5" s="5"/>
      <c r="B5" s="165" t="s">
        <v>2271</v>
      </c>
      <c r="C5" s="308">
        <v>90.71</v>
      </c>
      <c r="D5" s="308">
        <v>54.28</v>
      </c>
      <c r="E5" s="308">
        <v>47.14</v>
      </c>
      <c r="F5" s="558">
        <v>117.14</v>
      </c>
      <c r="G5" s="309">
        <v>52.16</v>
      </c>
      <c r="H5" s="308">
        <v>97.14</v>
      </c>
      <c r="I5" s="561">
        <v>30.71</v>
      </c>
      <c r="J5" s="308">
        <v>52.86</v>
      </c>
      <c r="K5" s="308">
        <v>56.42</v>
      </c>
      <c r="L5" s="309">
        <v>52.14</v>
      </c>
      <c r="M5" s="311">
        <v>65.099999999999994</v>
      </c>
      <c r="N5" s="5"/>
    </row>
    <row r="6" spans="1:16" ht="23.25" customHeight="1">
      <c r="A6" s="5"/>
      <c r="B6" s="166" t="s">
        <v>2272</v>
      </c>
      <c r="C6" s="170">
        <v>94.28</v>
      </c>
      <c r="D6" s="170">
        <v>157.85</v>
      </c>
      <c r="E6" s="170">
        <v>155</v>
      </c>
      <c r="F6" s="557">
        <v>171.43</v>
      </c>
      <c r="G6" s="24">
        <v>92.14</v>
      </c>
      <c r="H6" s="170">
        <v>95</v>
      </c>
      <c r="I6" s="24">
        <v>87.85</v>
      </c>
      <c r="J6" s="562">
        <v>55.71</v>
      </c>
      <c r="K6" s="170">
        <v>92.85</v>
      </c>
      <c r="L6" s="24">
        <v>71.42</v>
      </c>
      <c r="M6" s="312">
        <v>107.4</v>
      </c>
      <c r="N6" s="5"/>
    </row>
    <row r="7" spans="1:16" ht="23.25" customHeight="1" thickBot="1">
      <c r="A7" s="5"/>
      <c r="B7" s="167" t="s">
        <v>2273</v>
      </c>
      <c r="C7" s="556">
        <v>275</v>
      </c>
      <c r="D7" s="168">
        <v>168</v>
      </c>
      <c r="E7" s="168">
        <v>215</v>
      </c>
      <c r="F7" s="25">
        <v>80</v>
      </c>
      <c r="G7" s="25">
        <v>165</v>
      </c>
      <c r="H7" s="168">
        <v>120</v>
      </c>
      <c r="I7" s="25">
        <v>149</v>
      </c>
      <c r="J7" s="168">
        <v>141</v>
      </c>
      <c r="K7" s="168">
        <v>57</v>
      </c>
      <c r="L7" s="563">
        <v>54</v>
      </c>
      <c r="M7" s="313">
        <v>142.4</v>
      </c>
      <c r="N7" s="5"/>
    </row>
    <row r="8" spans="1:16" ht="1.5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6">
      <c r="B9" s="777"/>
      <c r="C9" s="777"/>
      <c r="D9" s="777"/>
      <c r="E9" s="777"/>
      <c r="F9" s="777"/>
      <c r="G9" s="777"/>
      <c r="H9" s="777"/>
      <c r="I9" s="777"/>
      <c r="J9" s="777"/>
      <c r="K9" s="777"/>
      <c r="L9" s="777"/>
      <c r="M9" s="777"/>
    </row>
    <row r="12" spans="1:16" ht="15">
      <c r="C12" s="26"/>
    </row>
    <row r="13" spans="1:16" ht="15">
      <c r="C13" s="26"/>
      <c r="O13" s="100"/>
      <c r="P13" s="100"/>
    </row>
    <row r="14" spans="1:16">
      <c r="O14" s="100"/>
      <c r="P14" s="100"/>
    </row>
    <row r="15" spans="1:16">
      <c r="O15" s="100"/>
      <c r="P15" s="100"/>
    </row>
    <row r="16" spans="1:16">
      <c r="O16" s="100"/>
      <c r="P16" s="100"/>
    </row>
  </sheetData>
  <mergeCells count="2">
    <mergeCell ref="B2:M2"/>
    <mergeCell ref="B9:M9"/>
  </mergeCells>
  <pageMargins left="0.7" right="0.7" top="0.75" bottom="0.75" header="0.3" footer="0.3"/>
  <pageSetup orientation="portrait" horizontalDpi="4294967294" verticalDpi="4294967294" r:id="rId1"/>
  <customProperties>
    <customPr name="EpmWorksheetKeyString_GUI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6"/>
  <sheetViews>
    <sheetView zoomScale="190" zoomScaleNormal="190" workbookViewId="0">
      <selection activeCell="H14" sqref="A1:H14"/>
    </sheetView>
  </sheetViews>
  <sheetFormatPr defaultColWidth="9.140625" defaultRowHeight="14.25"/>
  <cols>
    <col min="1" max="1" width="0.42578125" style="6" customWidth="1"/>
    <col min="2" max="2" width="12" style="6" customWidth="1"/>
    <col min="3" max="3" width="26.42578125" style="6" customWidth="1"/>
    <col min="4" max="6" width="6.85546875" style="6" customWidth="1"/>
    <col min="7" max="7" width="24.85546875" style="6" customWidth="1"/>
    <col min="8" max="8" width="0.28515625" style="6" customWidth="1"/>
    <col min="9" max="10" width="9.140625" style="6"/>
    <col min="11" max="11" width="11.42578125" style="6" customWidth="1"/>
    <col min="12" max="12" width="27" style="6" customWidth="1"/>
    <col min="13" max="14" width="9.140625" style="27"/>
    <col min="15" max="16384" width="9.140625" style="6"/>
  </cols>
  <sheetData>
    <row r="1" spans="1:8" ht="2.25" customHeight="1" thickBot="1">
      <c r="A1" s="5"/>
      <c r="B1" s="5"/>
      <c r="C1" s="5"/>
      <c r="D1" s="5"/>
      <c r="E1" s="5"/>
      <c r="F1" s="5"/>
      <c r="G1" s="5"/>
      <c r="H1" s="5"/>
    </row>
    <row r="2" spans="1:8" ht="34.5" thickBot="1">
      <c r="A2" s="5"/>
      <c r="B2" s="778" t="s">
        <v>2268</v>
      </c>
      <c r="C2" s="779"/>
      <c r="D2" s="779"/>
      <c r="E2" s="779"/>
      <c r="F2" s="779"/>
      <c r="G2" s="780"/>
      <c r="H2" s="5"/>
    </row>
    <row r="3" spans="1:8" ht="28.5" thickBot="1">
      <c r="A3" s="5"/>
      <c r="B3" s="539" t="s">
        <v>0</v>
      </c>
      <c r="C3" s="540" t="s">
        <v>2</v>
      </c>
      <c r="D3" s="540" t="s">
        <v>30</v>
      </c>
      <c r="E3" s="540" t="s">
        <v>31</v>
      </c>
      <c r="F3" s="540" t="s">
        <v>32</v>
      </c>
      <c r="G3" s="541" t="s">
        <v>33</v>
      </c>
      <c r="H3" s="5"/>
    </row>
    <row r="4" spans="1:8" ht="25.5" customHeight="1">
      <c r="A4" s="5"/>
      <c r="B4" s="535">
        <v>1</v>
      </c>
      <c r="C4" s="536" t="s">
        <v>11</v>
      </c>
      <c r="D4" s="537">
        <v>9</v>
      </c>
      <c r="E4" s="537">
        <v>2</v>
      </c>
      <c r="F4" s="537">
        <v>5</v>
      </c>
      <c r="G4" s="538">
        <v>0.71875</v>
      </c>
      <c r="H4" s="5"/>
    </row>
    <row r="5" spans="1:8" ht="25.5" customHeight="1">
      <c r="A5" s="5"/>
      <c r="B5" s="432">
        <v>2</v>
      </c>
      <c r="C5" s="433" t="s">
        <v>10</v>
      </c>
      <c r="D5" s="434">
        <v>4</v>
      </c>
      <c r="E5" s="434">
        <v>2</v>
      </c>
      <c r="F5" s="434">
        <v>1</v>
      </c>
      <c r="G5" s="435">
        <v>0.6428571428571429</v>
      </c>
      <c r="H5" s="5"/>
    </row>
    <row r="6" spans="1:8" ht="25.5" customHeight="1">
      <c r="A6" s="5"/>
      <c r="B6" s="250">
        <v>3</v>
      </c>
      <c r="C6" s="249" t="s">
        <v>13</v>
      </c>
      <c r="D6" s="250">
        <v>6</v>
      </c>
      <c r="E6" s="250">
        <v>5</v>
      </c>
      <c r="F6" s="250">
        <v>1</v>
      </c>
      <c r="G6" s="534">
        <v>0.54166666666666663</v>
      </c>
      <c r="H6" s="5"/>
    </row>
    <row r="7" spans="1:8" ht="25.5" customHeight="1">
      <c r="A7" s="5"/>
      <c r="B7" s="542">
        <v>4</v>
      </c>
      <c r="C7" s="543" t="s">
        <v>104</v>
      </c>
      <c r="D7" s="542">
        <v>4</v>
      </c>
      <c r="E7" s="542">
        <v>5</v>
      </c>
      <c r="F7" s="542">
        <v>2</v>
      </c>
      <c r="G7" s="544">
        <v>0.45454545454545453</v>
      </c>
      <c r="H7" s="5"/>
    </row>
    <row r="8" spans="1:8" ht="25.5" customHeight="1">
      <c r="A8" s="5"/>
      <c r="B8" s="250">
        <v>5</v>
      </c>
      <c r="C8" s="249" t="s">
        <v>8</v>
      </c>
      <c r="D8" s="250">
        <v>3</v>
      </c>
      <c r="E8" s="250">
        <v>7</v>
      </c>
      <c r="F8" s="250">
        <v>2</v>
      </c>
      <c r="G8" s="534">
        <v>0.33333333333333331</v>
      </c>
      <c r="H8" s="5"/>
    </row>
    <row r="9" spans="1:8" ht="25.5" customHeight="1" thickBot="1">
      <c r="A9" s="5"/>
      <c r="B9" s="547">
        <v>6</v>
      </c>
      <c r="C9" s="548" t="s">
        <v>1969</v>
      </c>
      <c r="D9" s="549">
        <v>2</v>
      </c>
      <c r="E9" s="549">
        <v>5</v>
      </c>
      <c r="F9" s="549">
        <v>1</v>
      </c>
      <c r="G9" s="550">
        <v>0.3125</v>
      </c>
      <c r="H9" s="5"/>
    </row>
    <row r="10" spans="1:8" ht="25.5" customHeight="1">
      <c r="A10" s="5"/>
      <c r="B10" s="328" t="s">
        <v>2269</v>
      </c>
      <c r="C10" s="329" t="s">
        <v>14</v>
      </c>
      <c r="D10" s="330">
        <v>2</v>
      </c>
      <c r="E10" s="330">
        <v>1</v>
      </c>
      <c r="F10" s="330">
        <v>0</v>
      </c>
      <c r="G10" s="331">
        <v>0.66666666666666663</v>
      </c>
      <c r="H10" s="5"/>
    </row>
    <row r="11" spans="1:8" ht="25.5" customHeight="1" thickBot="1">
      <c r="A11" s="5"/>
      <c r="B11" s="545" t="s">
        <v>2269</v>
      </c>
      <c r="C11" s="543" t="s">
        <v>1968</v>
      </c>
      <c r="D11" s="542">
        <v>2</v>
      </c>
      <c r="E11" s="542">
        <v>2</v>
      </c>
      <c r="F11" s="542">
        <v>0</v>
      </c>
      <c r="G11" s="546">
        <v>0.5</v>
      </c>
      <c r="H11" s="5"/>
    </row>
    <row r="12" spans="1:8" ht="25.5" customHeight="1" thickBot="1">
      <c r="A12" s="5"/>
      <c r="B12" s="248" t="s">
        <v>2269</v>
      </c>
      <c r="C12" s="249" t="s">
        <v>12</v>
      </c>
      <c r="D12" s="250">
        <v>1</v>
      </c>
      <c r="E12" s="250">
        <v>3</v>
      </c>
      <c r="F12" s="250">
        <v>1</v>
      </c>
      <c r="G12" s="251">
        <v>0.3</v>
      </c>
      <c r="H12" s="431"/>
    </row>
    <row r="13" spans="1:8" ht="25.5" customHeight="1" thickBot="1">
      <c r="A13" s="5"/>
      <c r="B13" s="551" t="s">
        <v>2269</v>
      </c>
      <c r="C13" s="552" t="s">
        <v>9</v>
      </c>
      <c r="D13" s="553">
        <v>1</v>
      </c>
      <c r="E13" s="553">
        <v>3</v>
      </c>
      <c r="F13" s="553">
        <v>1</v>
      </c>
      <c r="G13" s="554">
        <v>0.3</v>
      </c>
      <c r="H13" s="5"/>
    </row>
    <row r="14" spans="1:8" ht="1.5" customHeight="1">
      <c r="A14" s="5"/>
      <c r="B14" s="5"/>
      <c r="C14" s="5"/>
      <c r="D14" s="5"/>
      <c r="E14" s="5"/>
      <c r="F14" s="5"/>
      <c r="G14" s="5"/>
      <c r="H14" s="5"/>
    </row>
    <row r="17" spans="1:11" ht="15">
      <c r="A17"/>
      <c r="H17"/>
      <c r="I17"/>
      <c r="J17"/>
      <c r="K17"/>
    </row>
    <row r="18" spans="1:11" ht="15">
      <c r="A18"/>
      <c r="H18"/>
      <c r="I18"/>
      <c r="J18"/>
      <c r="K18"/>
    </row>
    <row r="19" spans="1:11" ht="15">
      <c r="A19"/>
      <c r="H19"/>
      <c r="I19"/>
      <c r="J19"/>
      <c r="K19"/>
    </row>
    <row r="20" spans="1:11" ht="15">
      <c r="A20"/>
      <c r="B20"/>
      <c r="C20"/>
      <c r="D20"/>
      <c r="E20"/>
      <c r="F20"/>
      <c r="G20"/>
      <c r="H20"/>
      <c r="I20"/>
      <c r="J20"/>
      <c r="K20"/>
    </row>
    <row r="21" spans="1:11" ht="15">
      <c r="A21"/>
      <c r="B21"/>
      <c r="C21"/>
      <c r="D21"/>
      <c r="E21"/>
      <c r="F21"/>
      <c r="G21"/>
      <c r="H21"/>
      <c r="I21"/>
      <c r="J21"/>
      <c r="K21"/>
    </row>
    <row r="22" spans="1:11" ht="15">
      <c r="A22"/>
      <c r="H22"/>
      <c r="I22"/>
      <c r="J22"/>
      <c r="K22"/>
    </row>
    <row r="23" spans="1:11" ht="15">
      <c r="A23"/>
      <c r="H23"/>
      <c r="I23"/>
      <c r="J23"/>
      <c r="K23"/>
    </row>
    <row r="24" spans="1:11" ht="15">
      <c r="A24"/>
      <c r="B24"/>
      <c r="C24"/>
      <c r="D24"/>
      <c r="E24"/>
      <c r="F24"/>
      <c r="G24"/>
      <c r="H24"/>
      <c r="I24"/>
      <c r="J24"/>
      <c r="K24"/>
    </row>
    <row r="25" spans="1:11" ht="15">
      <c r="A25"/>
      <c r="B25"/>
      <c r="C25"/>
      <c r="D25"/>
      <c r="E25"/>
      <c r="F25"/>
      <c r="G25"/>
      <c r="H25"/>
      <c r="I25"/>
      <c r="J25"/>
      <c r="K25"/>
    </row>
    <row r="26" spans="1:11" ht="15">
      <c r="A26"/>
      <c r="B26"/>
      <c r="C26"/>
      <c r="D26"/>
      <c r="E26"/>
      <c r="F26"/>
      <c r="G26"/>
      <c r="H26"/>
      <c r="I26"/>
      <c r="J26"/>
      <c r="K26"/>
    </row>
  </sheetData>
  <sortState xmlns:xlrd2="http://schemas.microsoft.com/office/spreadsheetml/2017/richdata2" ref="B4:G13">
    <sortCondition descending="1" ref="G4:G13"/>
  </sortState>
  <mergeCells count="1">
    <mergeCell ref="B2:G2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P67"/>
  <sheetViews>
    <sheetView topLeftCell="A26" zoomScale="130" zoomScaleNormal="130" workbookViewId="0">
      <selection activeCell="K39" sqref="A1:K39"/>
    </sheetView>
  </sheetViews>
  <sheetFormatPr defaultColWidth="9.140625" defaultRowHeight="14.25"/>
  <cols>
    <col min="1" max="1" width="0.7109375" style="6" customWidth="1"/>
    <col min="2" max="2" width="16.28515625" style="6" customWidth="1"/>
    <col min="3" max="3" width="21.5703125" style="6" customWidth="1"/>
    <col min="4" max="4" width="61" style="6" customWidth="1"/>
    <col min="5" max="5" width="8.28515625" style="6" customWidth="1"/>
    <col min="6" max="6" width="21.7109375" style="6" customWidth="1"/>
    <col min="7" max="10" width="9.5703125" style="6" customWidth="1"/>
    <col min="11" max="11" width="0.5703125" style="6" customWidth="1"/>
    <col min="12" max="14" width="12" style="6" customWidth="1"/>
    <col min="15" max="15" width="22.140625" style="6" customWidth="1"/>
    <col min="16" max="16" width="20" style="6" customWidth="1"/>
    <col min="17" max="20" width="9.140625" style="6"/>
    <col min="21" max="21" width="11.7109375" style="6" customWidth="1"/>
    <col min="22" max="22" width="9.140625" style="6"/>
    <col min="23" max="23" width="22.85546875" style="6" customWidth="1"/>
    <col min="24" max="29" width="9.140625" style="6"/>
    <col min="30" max="30" width="23.5703125" style="6" customWidth="1"/>
    <col min="31" max="16384" width="9.140625" style="6"/>
  </cols>
  <sheetData>
    <row r="1" spans="1:42" ht="3.7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</row>
    <row r="2" spans="1:42" ht="72" customHeight="1" thickBot="1">
      <c r="A2" s="5"/>
      <c r="B2" s="781" t="s">
        <v>44</v>
      </c>
      <c r="C2" s="782"/>
      <c r="D2" s="782"/>
      <c r="E2" s="782"/>
      <c r="F2" s="782"/>
      <c r="G2" s="782"/>
      <c r="H2" s="782"/>
      <c r="I2" s="782"/>
      <c r="J2" s="783"/>
      <c r="K2" s="8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42" ht="29.25" customHeight="1" thickBot="1">
      <c r="A3" s="5"/>
      <c r="B3" s="786" t="s">
        <v>45</v>
      </c>
      <c r="C3" s="787"/>
      <c r="D3" s="787"/>
      <c r="E3" s="788"/>
      <c r="F3" s="786" t="s">
        <v>46</v>
      </c>
      <c r="G3" s="787"/>
      <c r="H3" s="787"/>
      <c r="I3" s="787"/>
      <c r="J3" s="788"/>
      <c r="K3" s="8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42" ht="24.75" customHeight="1" thickBot="1">
      <c r="A4" s="5"/>
      <c r="B4" s="9" t="s">
        <v>47</v>
      </c>
      <c r="C4" s="90" t="s">
        <v>48</v>
      </c>
      <c r="D4" s="10" t="s">
        <v>49</v>
      </c>
      <c r="E4" s="90" t="s">
        <v>50</v>
      </c>
      <c r="F4" s="270"/>
      <c r="G4" s="271" t="s">
        <v>51</v>
      </c>
      <c r="H4" s="271" t="s">
        <v>52</v>
      </c>
      <c r="I4" s="271" t="s">
        <v>53</v>
      </c>
      <c r="J4" s="272" t="s">
        <v>54</v>
      </c>
      <c r="K4" s="8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22.5" customHeight="1">
      <c r="A5" s="5"/>
      <c r="B5" s="254">
        <v>1</v>
      </c>
      <c r="C5" s="255" t="s">
        <v>2021</v>
      </c>
      <c r="D5" s="256" t="s">
        <v>1992</v>
      </c>
      <c r="E5" s="257">
        <v>2</v>
      </c>
      <c r="F5" s="336" t="s">
        <v>55</v>
      </c>
      <c r="G5" s="252">
        <v>75</v>
      </c>
      <c r="H5" s="252">
        <v>125</v>
      </c>
      <c r="I5" s="265">
        <v>150</v>
      </c>
      <c r="J5" s="253">
        <v>250</v>
      </c>
      <c r="K5" s="8"/>
      <c r="N5"/>
      <c r="O5"/>
      <c r="P5"/>
      <c r="Q5"/>
      <c r="R5"/>
      <c r="S5"/>
      <c r="T5"/>
      <c r="U5"/>
      <c r="V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22.5" customHeight="1">
      <c r="A6" s="5"/>
      <c r="B6" s="76">
        <v>2</v>
      </c>
      <c r="C6" s="334" t="s">
        <v>2022</v>
      </c>
      <c r="D6" s="340" t="s">
        <v>56</v>
      </c>
      <c r="E6" s="258">
        <v>1</v>
      </c>
      <c r="F6" s="337" t="s">
        <v>57</v>
      </c>
      <c r="G6" s="11">
        <v>45</v>
      </c>
      <c r="H6" s="11">
        <v>70</v>
      </c>
      <c r="I6" s="266">
        <v>90</v>
      </c>
      <c r="J6" s="12">
        <v>140</v>
      </c>
      <c r="K6" s="8"/>
      <c r="N6"/>
      <c r="O6"/>
      <c r="P6"/>
      <c r="Q6"/>
      <c r="R6"/>
      <c r="S6"/>
      <c r="T6"/>
      <c r="U6"/>
      <c r="V6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22.5" customHeight="1">
      <c r="A7" s="5"/>
      <c r="B7" s="74">
        <v>3</v>
      </c>
      <c r="C7" s="341" t="s">
        <v>2023</v>
      </c>
      <c r="D7" s="335" t="s">
        <v>100</v>
      </c>
      <c r="E7" s="259">
        <v>1</v>
      </c>
      <c r="F7" s="338" t="s">
        <v>58</v>
      </c>
      <c r="G7" s="267">
        <v>35</v>
      </c>
      <c r="H7" s="267">
        <v>60</v>
      </c>
      <c r="I7" s="267">
        <v>70</v>
      </c>
      <c r="J7" s="268">
        <v>120</v>
      </c>
      <c r="K7" s="8"/>
      <c r="N7"/>
      <c r="O7"/>
      <c r="P7"/>
      <c r="Q7"/>
      <c r="R7"/>
      <c r="S7"/>
      <c r="T7"/>
      <c r="U7"/>
      <c r="V7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22.5" customHeight="1">
      <c r="A8" s="5"/>
      <c r="B8" s="14">
        <v>4</v>
      </c>
      <c r="C8" s="334" t="s">
        <v>2024</v>
      </c>
      <c r="D8" s="333" t="s">
        <v>59</v>
      </c>
      <c r="E8" s="260">
        <v>1</v>
      </c>
      <c r="F8" s="337" t="s">
        <v>1980</v>
      </c>
      <c r="G8" s="11">
        <v>30</v>
      </c>
      <c r="H8" s="11">
        <v>50</v>
      </c>
      <c r="I8" s="266">
        <v>60</v>
      </c>
      <c r="J8" s="12">
        <v>100</v>
      </c>
      <c r="K8" s="8"/>
      <c r="N8"/>
      <c r="O8"/>
      <c r="P8"/>
      <c r="Q8"/>
      <c r="R8"/>
      <c r="S8"/>
      <c r="T8"/>
      <c r="U8"/>
      <c r="V8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22.5" customHeight="1">
      <c r="A9" s="5"/>
      <c r="B9" s="74">
        <v>5</v>
      </c>
      <c r="C9" s="341" t="s">
        <v>2025</v>
      </c>
      <c r="D9" s="335" t="s">
        <v>62</v>
      </c>
      <c r="E9" s="259">
        <v>2</v>
      </c>
      <c r="F9" s="338" t="s">
        <v>1981</v>
      </c>
      <c r="G9" s="77">
        <v>25</v>
      </c>
      <c r="H9" s="77">
        <v>40</v>
      </c>
      <c r="I9" s="267">
        <v>50</v>
      </c>
      <c r="J9" s="78">
        <v>80</v>
      </c>
      <c r="K9" s="8"/>
      <c r="N9"/>
      <c r="O9"/>
      <c r="P9"/>
      <c r="Q9"/>
      <c r="R9"/>
      <c r="S9"/>
      <c r="T9"/>
      <c r="U9"/>
      <c r="V9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22.5" customHeight="1">
      <c r="A10" s="5"/>
      <c r="B10" s="14">
        <v>6</v>
      </c>
      <c r="C10" s="334" t="s">
        <v>2026</v>
      </c>
      <c r="D10" s="333" t="s">
        <v>60</v>
      </c>
      <c r="E10" s="260">
        <v>1</v>
      </c>
      <c r="F10" s="337" t="s">
        <v>61</v>
      </c>
      <c r="G10" s="11">
        <v>20</v>
      </c>
      <c r="H10" s="11">
        <v>30</v>
      </c>
      <c r="I10" s="266">
        <v>40</v>
      </c>
      <c r="J10" s="12">
        <v>60</v>
      </c>
      <c r="K10" s="8"/>
      <c r="L10" s="13"/>
      <c r="M10" s="13"/>
      <c r="N10"/>
      <c r="O10"/>
      <c r="P10"/>
      <c r="Q10"/>
      <c r="R10"/>
      <c r="S10"/>
      <c r="T10"/>
      <c r="U10"/>
      <c r="V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22.5" customHeight="1">
      <c r="A11" s="5"/>
      <c r="B11" s="75">
        <v>7</v>
      </c>
      <c r="C11" s="342" t="s">
        <v>2027</v>
      </c>
      <c r="D11" s="343" t="s">
        <v>101</v>
      </c>
      <c r="E11" s="261">
        <v>3</v>
      </c>
      <c r="F11" s="338" t="s">
        <v>63</v>
      </c>
      <c r="G11" s="77">
        <v>15</v>
      </c>
      <c r="H11" s="77">
        <v>20</v>
      </c>
      <c r="I11" s="267">
        <v>30</v>
      </c>
      <c r="J11" s="78">
        <v>40</v>
      </c>
      <c r="K11" s="8"/>
      <c r="L11" s="13"/>
      <c r="M11" s="13"/>
      <c r="N11"/>
      <c r="O11"/>
      <c r="P11"/>
      <c r="Q11"/>
      <c r="R11"/>
      <c r="S11"/>
      <c r="T11"/>
      <c r="U11"/>
      <c r="V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22.5" customHeight="1">
      <c r="A12" s="5"/>
      <c r="B12" s="14">
        <v>8</v>
      </c>
      <c r="C12" s="334" t="s">
        <v>2028</v>
      </c>
      <c r="D12" s="333" t="s">
        <v>1993</v>
      </c>
      <c r="E12" s="260">
        <v>1</v>
      </c>
      <c r="F12" s="337" t="s">
        <v>64</v>
      </c>
      <c r="G12" s="11">
        <v>10</v>
      </c>
      <c r="H12" s="11">
        <v>10</v>
      </c>
      <c r="I12" s="266">
        <v>15</v>
      </c>
      <c r="J12" s="12">
        <v>20</v>
      </c>
      <c r="K12" s="8"/>
      <c r="L12" s="13"/>
      <c r="M12" s="13"/>
      <c r="N12"/>
      <c r="O12"/>
      <c r="P12"/>
      <c r="Q12"/>
      <c r="R12"/>
      <c r="S12"/>
      <c r="T12"/>
      <c r="U12"/>
      <c r="V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22.5" customHeight="1" thickBot="1">
      <c r="A13" s="5"/>
      <c r="B13" s="74">
        <v>9</v>
      </c>
      <c r="C13" s="341" t="s">
        <v>2029</v>
      </c>
      <c r="D13" s="335" t="s">
        <v>1994</v>
      </c>
      <c r="E13" s="259">
        <v>1</v>
      </c>
      <c r="F13" s="339" t="s">
        <v>65</v>
      </c>
      <c r="G13" s="263">
        <v>5</v>
      </c>
      <c r="H13" s="263">
        <v>5</v>
      </c>
      <c r="I13" s="269">
        <v>10</v>
      </c>
      <c r="J13" s="264">
        <v>15</v>
      </c>
      <c r="K13" s="8"/>
      <c r="L13" s="13"/>
      <c r="N13"/>
      <c r="O13"/>
      <c r="P13"/>
      <c r="Q13"/>
      <c r="R13"/>
      <c r="S13"/>
      <c r="T13"/>
      <c r="U13"/>
      <c r="V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ht="22.5" customHeight="1" thickBot="1">
      <c r="A14" s="5"/>
      <c r="B14" s="14">
        <v>10</v>
      </c>
      <c r="C14" s="334" t="s">
        <v>2030</v>
      </c>
      <c r="D14" s="333" t="s">
        <v>66</v>
      </c>
      <c r="E14" s="260">
        <v>2</v>
      </c>
      <c r="F14" s="803"/>
      <c r="G14" s="803"/>
      <c r="H14" s="803"/>
      <c r="I14" s="803"/>
      <c r="J14" s="803"/>
      <c r="K14" s="8"/>
      <c r="L14" s="13"/>
      <c r="N14"/>
      <c r="O14"/>
      <c r="P14"/>
      <c r="Q14"/>
      <c r="R14"/>
      <c r="S14"/>
      <c r="T14"/>
      <c r="U14"/>
      <c r="V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ht="22.5" customHeight="1">
      <c r="A15" s="5"/>
      <c r="B15" s="75">
        <v>11</v>
      </c>
      <c r="C15" s="342" t="s">
        <v>2031</v>
      </c>
      <c r="D15" s="343" t="s">
        <v>1995</v>
      </c>
      <c r="E15" s="261">
        <v>3</v>
      </c>
      <c r="F15" s="801" t="s">
        <v>1976</v>
      </c>
      <c r="G15" s="801"/>
      <c r="H15" s="801"/>
      <c r="I15" s="801"/>
      <c r="J15" s="801"/>
      <c r="K15" s="8"/>
      <c r="L15" s="7"/>
      <c r="M15" s="7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ht="22.5" customHeight="1" thickBot="1">
      <c r="A16" s="5"/>
      <c r="B16" s="14">
        <v>12</v>
      </c>
      <c r="C16" s="334" t="s">
        <v>2032</v>
      </c>
      <c r="D16" s="333" t="s">
        <v>107</v>
      </c>
      <c r="E16" s="260">
        <v>1</v>
      </c>
      <c r="F16" s="802"/>
      <c r="G16" s="802"/>
      <c r="H16" s="802"/>
      <c r="I16" s="802"/>
      <c r="J16" s="802"/>
      <c r="K16" s="8"/>
      <c r="L16" s="7"/>
      <c r="M16" s="7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</row>
    <row r="17" spans="1:42" ht="22.5" customHeight="1" thickBot="1">
      <c r="A17" s="5"/>
      <c r="B17" s="74">
        <v>13</v>
      </c>
      <c r="C17" s="341" t="s">
        <v>2033</v>
      </c>
      <c r="D17" s="335" t="s">
        <v>1996</v>
      </c>
      <c r="E17" s="259">
        <v>1</v>
      </c>
      <c r="F17" s="797" t="s">
        <v>1982</v>
      </c>
      <c r="G17" s="797"/>
      <c r="H17" s="797"/>
      <c r="I17" s="797"/>
      <c r="J17" s="798"/>
      <c r="K17" s="5"/>
      <c r="M17" s="7"/>
      <c r="N17"/>
      <c r="O17"/>
      <c r="P17"/>
      <c r="Q17"/>
      <c r="R17"/>
      <c r="S17"/>
      <c r="T17"/>
      <c r="U17"/>
      <c r="V17"/>
      <c r="W17" s="270"/>
      <c r="X17" s="271" t="s">
        <v>51</v>
      </c>
      <c r="Y17" s="271" t="s">
        <v>52</v>
      </c>
      <c r="Z17" s="271" t="s">
        <v>53</v>
      </c>
      <c r="AA17" s="272" t="s">
        <v>54</v>
      </c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2" ht="22.5" customHeight="1" thickBot="1">
      <c r="A18" s="5"/>
      <c r="B18" s="14">
        <v>14</v>
      </c>
      <c r="C18" s="334" t="s">
        <v>2034</v>
      </c>
      <c r="D18" s="333" t="s">
        <v>105</v>
      </c>
      <c r="E18" s="260">
        <v>1</v>
      </c>
      <c r="F18" s="799"/>
      <c r="G18" s="799"/>
      <c r="H18" s="799"/>
      <c r="I18" s="799"/>
      <c r="J18" s="800"/>
      <c r="K18" s="5"/>
      <c r="M18" s="7"/>
      <c r="N18"/>
      <c r="O18"/>
      <c r="P18"/>
      <c r="Q18"/>
      <c r="R18"/>
      <c r="S18"/>
      <c r="T18"/>
      <c r="U18"/>
      <c r="V18"/>
      <c r="W18" s="278" t="s">
        <v>55</v>
      </c>
      <c r="X18" s="252">
        <v>75</v>
      </c>
      <c r="Y18" s="252">
        <v>125</v>
      </c>
      <c r="Z18" s="265">
        <v>150</v>
      </c>
      <c r="AA18" s="253">
        <v>200</v>
      </c>
      <c r="AB18" s="282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2" ht="22.5" customHeight="1" thickBot="1">
      <c r="A19" s="5"/>
      <c r="B19" s="75">
        <v>15</v>
      </c>
      <c r="C19" s="342" t="s">
        <v>2035</v>
      </c>
      <c r="D19" s="343" t="s">
        <v>1997</v>
      </c>
      <c r="E19" s="332">
        <v>4</v>
      </c>
      <c r="F19" s="784"/>
      <c r="G19" s="784"/>
      <c r="H19" s="784"/>
      <c r="I19" s="784"/>
      <c r="J19" s="785"/>
      <c r="K19" s="5"/>
      <c r="M19" s="7"/>
      <c r="N19"/>
      <c r="O19"/>
      <c r="P19"/>
      <c r="Q19"/>
      <c r="R19"/>
      <c r="S19"/>
      <c r="T19"/>
      <c r="U19"/>
      <c r="V19"/>
      <c r="W19" s="279" t="s">
        <v>57</v>
      </c>
      <c r="X19" s="11">
        <v>40</v>
      </c>
      <c r="Y19" s="11">
        <v>70</v>
      </c>
      <c r="Z19" s="266">
        <v>80</v>
      </c>
      <c r="AA19" s="12">
        <v>120</v>
      </c>
      <c r="AB19" s="283">
        <v>0.6</v>
      </c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</row>
    <row r="20" spans="1:42" ht="22.5" customHeight="1" thickBot="1">
      <c r="A20" s="5"/>
      <c r="B20" s="14">
        <v>16</v>
      </c>
      <c r="C20" s="334" t="s">
        <v>2036</v>
      </c>
      <c r="D20" s="333" t="s">
        <v>68</v>
      </c>
      <c r="E20" s="260">
        <v>2</v>
      </c>
      <c r="F20" s="801" t="s">
        <v>67</v>
      </c>
      <c r="G20" s="801"/>
      <c r="H20" s="801"/>
      <c r="I20" s="801"/>
      <c r="J20" s="812"/>
      <c r="K20" s="8"/>
      <c r="L20" s="7"/>
      <c r="N20"/>
      <c r="O20"/>
      <c r="P20" s="270"/>
      <c r="Q20" s="271" t="s">
        <v>51</v>
      </c>
      <c r="R20" s="271" t="s">
        <v>52</v>
      </c>
      <c r="S20" s="271" t="s">
        <v>53</v>
      </c>
      <c r="T20" s="272" t="s">
        <v>54</v>
      </c>
      <c r="U20"/>
      <c r="V20"/>
      <c r="W20" s="280" t="s">
        <v>58</v>
      </c>
      <c r="X20" s="267">
        <v>35</v>
      </c>
      <c r="Y20" s="267">
        <v>60</v>
      </c>
      <c r="Z20" s="267">
        <v>70</v>
      </c>
      <c r="AA20" s="268">
        <v>105</v>
      </c>
      <c r="AB20" s="284">
        <v>0.5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</row>
    <row r="21" spans="1:42" ht="22.5" customHeight="1" thickBot="1">
      <c r="A21" s="5"/>
      <c r="B21" s="74">
        <v>17</v>
      </c>
      <c r="C21" s="341" t="s">
        <v>2037</v>
      </c>
      <c r="D21" s="335" t="s">
        <v>106</v>
      </c>
      <c r="E21" s="259">
        <v>1</v>
      </c>
      <c r="F21" s="802"/>
      <c r="G21" s="802"/>
      <c r="H21" s="802"/>
      <c r="I21" s="802"/>
      <c r="J21" s="813"/>
      <c r="K21" s="8"/>
      <c r="L21" s="7"/>
      <c r="M21" s="7"/>
      <c r="N21"/>
      <c r="O21"/>
      <c r="P21" s="278" t="s">
        <v>55</v>
      </c>
      <c r="Q21" s="252">
        <v>75</v>
      </c>
      <c r="R21" s="252">
        <v>125</v>
      </c>
      <c r="S21" s="265">
        <v>150</v>
      </c>
      <c r="T21" s="253">
        <v>250</v>
      </c>
      <c r="U21"/>
      <c r="V21"/>
      <c r="W21" s="279" t="s">
        <v>1980</v>
      </c>
      <c r="X21" s="11">
        <v>30</v>
      </c>
      <c r="Y21" s="11">
        <v>50</v>
      </c>
      <c r="Z21" s="266">
        <v>60</v>
      </c>
      <c r="AA21" s="12">
        <v>90</v>
      </c>
      <c r="AB21" s="283">
        <v>0.4</v>
      </c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</row>
    <row r="22" spans="1:42" ht="22.5" customHeight="1">
      <c r="A22" s="5"/>
      <c r="B22" s="14">
        <v>18</v>
      </c>
      <c r="C22" s="334" t="s">
        <v>2038</v>
      </c>
      <c r="D22" s="333" t="s">
        <v>2039</v>
      </c>
      <c r="E22" s="260">
        <v>1</v>
      </c>
      <c r="F22" s="804" t="s">
        <v>1975</v>
      </c>
      <c r="G22" s="804"/>
      <c r="H22" s="804"/>
      <c r="I22" s="804"/>
      <c r="J22" s="805"/>
      <c r="K22" s="8"/>
      <c r="L22" s="7"/>
      <c r="M22" s="7"/>
      <c r="N22"/>
      <c r="O22"/>
      <c r="P22" s="279" t="s">
        <v>57</v>
      </c>
      <c r="Q22" s="11">
        <v>45</v>
      </c>
      <c r="R22" s="11">
        <v>70</v>
      </c>
      <c r="S22" s="266">
        <v>90</v>
      </c>
      <c r="T22" s="12">
        <v>140</v>
      </c>
      <c r="U22" s="283" t="s">
        <v>1984</v>
      </c>
      <c r="V22"/>
      <c r="W22" s="280" t="s">
        <v>1981</v>
      </c>
      <c r="X22" s="77">
        <v>25</v>
      </c>
      <c r="Y22" s="77">
        <v>40</v>
      </c>
      <c r="Z22" s="267">
        <v>50</v>
      </c>
      <c r="AA22" s="78">
        <v>75</v>
      </c>
      <c r="AB22" s="285">
        <v>0.35</v>
      </c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</row>
    <row r="23" spans="1:42" ht="22.5" customHeight="1" thickBot="1">
      <c r="A23" s="5"/>
      <c r="B23" s="75">
        <v>19</v>
      </c>
      <c r="C23" s="342" t="s">
        <v>2040</v>
      </c>
      <c r="D23" s="343" t="s">
        <v>2041</v>
      </c>
      <c r="E23" s="261">
        <v>3</v>
      </c>
      <c r="F23" s="806"/>
      <c r="G23" s="806"/>
      <c r="H23" s="806"/>
      <c r="I23" s="806"/>
      <c r="J23" s="807"/>
      <c r="K23" s="8"/>
      <c r="L23" s="7"/>
      <c r="M23" s="7"/>
      <c r="N23"/>
      <c r="O23"/>
      <c r="P23" s="280" t="s">
        <v>58</v>
      </c>
      <c r="Q23" s="267">
        <v>35</v>
      </c>
      <c r="R23" s="267">
        <v>60</v>
      </c>
      <c r="S23" s="267">
        <v>70</v>
      </c>
      <c r="T23" s="268">
        <v>120</v>
      </c>
      <c r="U23" s="284" t="s">
        <v>1985</v>
      </c>
      <c r="V23"/>
      <c r="W23" s="279" t="s">
        <v>61</v>
      </c>
      <c r="X23" s="11">
        <v>20</v>
      </c>
      <c r="Y23" s="11">
        <v>30</v>
      </c>
      <c r="Z23" s="266">
        <v>40</v>
      </c>
      <c r="AA23" s="12">
        <v>60</v>
      </c>
      <c r="AB23" s="283">
        <v>0.3</v>
      </c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</row>
    <row r="24" spans="1:42" ht="22.5" customHeight="1">
      <c r="A24" s="5"/>
      <c r="B24" s="15">
        <v>20</v>
      </c>
      <c r="C24" s="344" t="s">
        <v>2042</v>
      </c>
      <c r="D24" s="345" t="s">
        <v>69</v>
      </c>
      <c r="E24" s="262">
        <v>4</v>
      </c>
      <c r="F24" s="808" t="s">
        <v>1974</v>
      </c>
      <c r="G24" s="808"/>
      <c r="H24" s="808"/>
      <c r="I24" s="808"/>
      <c r="J24" s="809"/>
      <c r="K24" s="8"/>
      <c r="L24" s="7"/>
      <c r="M24" s="7"/>
      <c r="N24"/>
      <c r="O24"/>
      <c r="P24" s="279" t="s">
        <v>1980</v>
      </c>
      <c r="Q24" s="11">
        <v>30</v>
      </c>
      <c r="R24" s="11">
        <v>50</v>
      </c>
      <c r="S24" s="266">
        <v>60</v>
      </c>
      <c r="T24" s="12">
        <v>100</v>
      </c>
      <c r="U24" s="283">
        <v>0.4</v>
      </c>
      <c r="V24"/>
      <c r="W24" s="280" t="s">
        <v>63</v>
      </c>
      <c r="X24" s="77">
        <v>15</v>
      </c>
      <c r="Y24" s="77">
        <v>20</v>
      </c>
      <c r="Z24" s="267">
        <v>30</v>
      </c>
      <c r="AA24" s="78">
        <v>40</v>
      </c>
      <c r="AB24" s="283">
        <v>0.15</v>
      </c>
      <c r="AC24" s="285"/>
      <c r="AD24"/>
      <c r="AE24"/>
      <c r="AF24"/>
      <c r="AG24"/>
      <c r="AH24"/>
      <c r="AI24"/>
      <c r="AJ24"/>
      <c r="AK24"/>
      <c r="AL24"/>
      <c r="AM24"/>
      <c r="AN24"/>
      <c r="AO24"/>
      <c r="AP24"/>
    </row>
    <row r="25" spans="1:42" ht="22.5" customHeight="1" thickBot="1">
      <c r="A25" s="5"/>
      <c r="B25" s="74">
        <v>21</v>
      </c>
      <c r="C25" s="341" t="s">
        <v>2043</v>
      </c>
      <c r="D25" s="335" t="s">
        <v>70</v>
      </c>
      <c r="E25" s="259">
        <v>1</v>
      </c>
      <c r="F25" s="810"/>
      <c r="G25" s="810"/>
      <c r="H25" s="810"/>
      <c r="I25" s="810"/>
      <c r="J25" s="811"/>
      <c r="K25" s="8"/>
      <c r="L25" s="7"/>
      <c r="M25" s="7"/>
      <c r="N25"/>
      <c r="O25"/>
      <c r="P25" s="280" t="s">
        <v>1981</v>
      </c>
      <c r="Q25" s="77">
        <v>25</v>
      </c>
      <c r="R25" s="77">
        <v>40</v>
      </c>
      <c r="S25" s="267">
        <v>50</v>
      </c>
      <c r="T25" s="78">
        <v>80</v>
      </c>
      <c r="U25" t="s">
        <v>1986</v>
      </c>
      <c r="V25"/>
      <c r="W25" s="279" t="s">
        <v>64</v>
      </c>
      <c r="X25" s="11">
        <v>10</v>
      </c>
      <c r="Y25" s="11">
        <v>15</v>
      </c>
      <c r="Z25" s="266">
        <v>20</v>
      </c>
      <c r="AA25" s="12">
        <v>25</v>
      </c>
      <c r="AB25" s="283">
        <v>0.1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</row>
    <row r="26" spans="1:42" ht="22.5" customHeight="1" thickBot="1">
      <c r="A26" s="5"/>
      <c r="B26" s="15">
        <v>22</v>
      </c>
      <c r="C26" s="344" t="s">
        <v>2044</v>
      </c>
      <c r="D26" s="345" t="s">
        <v>71</v>
      </c>
      <c r="E26" s="262">
        <v>3</v>
      </c>
      <c r="F26" s="793" t="s">
        <v>1973</v>
      </c>
      <c r="G26" s="793"/>
      <c r="H26" s="793"/>
      <c r="I26" s="793"/>
      <c r="J26" s="794"/>
      <c r="K26" s="8"/>
      <c r="L26" s="7"/>
      <c r="M26" s="7"/>
      <c r="N26"/>
      <c r="O26"/>
      <c r="P26" s="279" t="s">
        <v>61</v>
      </c>
      <c r="Q26" s="11">
        <v>20</v>
      </c>
      <c r="R26" s="11">
        <v>30</v>
      </c>
      <c r="S26" s="266">
        <v>40</v>
      </c>
      <c r="T26" s="12">
        <v>60</v>
      </c>
      <c r="U26" t="s">
        <v>1987</v>
      </c>
      <c r="V26"/>
      <c r="W26" s="281" t="s">
        <v>65</v>
      </c>
      <c r="X26" s="263">
        <v>5</v>
      </c>
      <c r="Y26" s="263">
        <v>5</v>
      </c>
      <c r="Z26" s="269">
        <v>10</v>
      </c>
      <c r="AA26" s="264">
        <v>15</v>
      </c>
      <c r="AB26" s="283">
        <v>0.5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</row>
    <row r="27" spans="1:42" ht="22.5" customHeight="1" thickBot="1">
      <c r="A27" s="5"/>
      <c r="B27" s="74">
        <v>23</v>
      </c>
      <c r="C27" s="341" t="s">
        <v>2045</v>
      </c>
      <c r="D27" s="335" t="s">
        <v>1965</v>
      </c>
      <c r="E27" s="259">
        <v>2</v>
      </c>
      <c r="F27" s="795"/>
      <c r="G27" s="795"/>
      <c r="H27" s="795"/>
      <c r="I27" s="795"/>
      <c r="J27" s="796"/>
      <c r="K27" s="8"/>
      <c r="L27" s="7"/>
      <c r="M27" s="7"/>
      <c r="N27"/>
      <c r="O27"/>
      <c r="P27" s="280" t="s">
        <v>63</v>
      </c>
      <c r="Q27" s="77">
        <v>15</v>
      </c>
      <c r="R27" s="77">
        <v>20</v>
      </c>
      <c r="S27" s="267">
        <v>30</v>
      </c>
      <c r="T27" s="78">
        <v>40</v>
      </c>
      <c r="U27" t="s">
        <v>1988</v>
      </c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</row>
    <row r="28" spans="1:42" ht="22.5" customHeight="1" thickBot="1">
      <c r="A28" s="5"/>
      <c r="B28" s="15">
        <v>24</v>
      </c>
      <c r="C28" s="344" t="s">
        <v>2046</v>
      </c>
      <c r="D28" s="345" t="s">
        <v>72</v>
      </c>
      <c r="E28" s="262">
        <v>4</v>
      </c>
      <c r="F28" s="784"/>
      <c r="G28" s="784"/>
      <c r="H28" s="784"/>
      <c r="I28" s="784"/>
      <c r="J28" s="785"/>
      <c r="K28" s="8"/>
      <c r="L28" s="7"/>
      <c r="M28" s="7"/>
      <c r="N28"/>
      <c r="O28"/>
      <c r="P28" s="279" t="s">
        <v>64</v>
      </c>
      <c r="Q28" s="11">
        <v>10</v>
      </c>
      <c r="R28" s="11">
        <v>10</v>
      </c>
      <c r="S28" s="266">
        <v>15</v>
      </c>
      <c r="T28" s="12">
        <v>20</v>
      </c>
      <c r="U28" t="s">
        <v>1989</v>
      </c>
      <c r="V28"/>
      <c r="W28"/>
      <c r="X28">
        <v>605</v>
      </c>
      <c r="Y28">
        <v>870</v>
      </c>
      <c r="Z28">
        <v>1210</v>
      </c>
      <c r="AA28">
        <v>1715</v>
      </c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</row>
    <row r="29" spans="1:42" ht="22.5" customHeight="1" thickBot="1">
      <c r="A29" s="5"/>
      <c r="B29" s="74">
        <v>25</v>
      </c>
      <c r="C29" s="341" t="s">
        <v>2047</v>
      </c>
      <c r="D29" s="335" t="s">
        <v>73</v>
      </c>
      <c r="E29" s="259">
        <v>2</v>
      </c>
      <c r="F29" s="801" t="s">
        <v>1977</v>
      </c>
      <c r="G29" s="801"/>
      <c r="H29" s="801"/>
      <c r="I29" s="801"/>
      <c r="J29" s="812"/>
      <c r="K29" s="8"/>
      <c r="L29" s="7"/>
      <c r="M29" s="7"/>
      <c r="N29"/>
      <c r="O29"/>
      <c r="P29" s="281" t="s">
        <v>65</v>
      </c>
      <c r="Q29" s="263">
        <v>5</v>
      </c>
      <c r="R29" s="263">
        <v>5</v>
      </c>
      <c r="S29" s="269">
        <v>10</v>
      </c>
      <c r="T29" s="264">
        <v>15</v>
      </c>
      <c r="U29" t="s">
        <v>1990</v>
      </c>
      <c r="V29"/>
      <c r="W29"/>
      <c r="X29">
        <v>15</v>
      </c>
      <c r="Y29">
        <v>8</v>
      </c>
      <c r="Z29">
        <v>7</v>
      </c>
      <c r="AA29">
        <v>4</v>
      </c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</row>
    <row r="30" spans="1:42" ht="22.5" customHeight="1" thickBot="1">
      <c r="A30" s="5"/>
      <c r="B30" s="14">
        <v>26</v>
      </c>
      <c r="C30" s="334" t="s">
        <v>2048</v>
      </c>
      <c r="D30" s="333" t="s">
        <v>74</v>
      </c>
      <c r="E30" s="260">
        <v>1</v>
      </c>
      <c r="F30" s="802"/>
      <c r="G30" s="802"/>
      <c r="H30" s="802"/>
      <c r="I30" s="802"/>
      <c r="J30" s="813"/>
      <c r="K30" s="8"/>
      <c r="L30" s="7"/>
      <c r="M30" s="7"/>
      <c r="N30"/>
      <c r="O30"/>
      <c r="P30"/>
      <c r="Q30"/>
      <c r="R30"/>
      <c r="S30"/>
      <c r="T30"/>
      <c r="U30"/>
      <c r="V30"/>
      <c r="W30"/>
      <c r="X30">
        <f>X28*X29</f>
        <v>9075</v>
      </c>
      <c r="Y30">
        <f t="shared" ref="Y30:AA30" si="0">Y28*Y29</f>
        <v>6960</v>
      </c>
      <c r="Z30">
        <f t="shared" si="0"/>
        <v>8470</v>
      </c>
      <c r="AA30">
        <f t="shared" si="0"/>
        <v>6860</v>
      </c>
      <c r="AB30">
        <f>SUM(X30:AA30)</f>
        <v>31365</v>
      </c>
      <c r="AC30">
        <f>AB30/34</f>
        <v>922.5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</row>
    <row r="31" spans="1:42" ht="22.5" customHeight="1">
      <c r="A31" s="5"/>
      <c r="B31" s="74">
        <v>27</v>
      </c>
      <c r="C31" s="341" t="s">
        <v>2049</v>
      </c>
      <c r="D31" s="335" t="s">
        <v>108</v>
      </c>
      <c r="E31" s="259">
        <v>1</v>
      </c>
      <c r="F31" s="789" t="s">
        <v>1972</v>
      </c>
      <c r="G31" s="789"/>
      <c r="H31" s="789"/>
      <c r="I31" s="789"/>
      <c r="J31" s="790"/>
      <c r="K31" s="8"/>
      <c r="L31" s="7"/>
      <c r="M31" s="7"/>
      <c r="N31"/>
      <c r="O31"/>
      <c r="P31"/>
      <c r="Q31">
        <v>610</v>
      </c>
      <c r="R31">
        <v>820</v>
      </c>
      <c r="S31">
        <v>1170</v>
      </c>
      <c r="T31">
        <v>1765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</row>
    <row r="32" spans="1:42" ht="22.5" customHeight="1" thickBot="1">
      <c r="A32" s="5"/>
      <c r="B32" s="14">
        <v>28</v>
      </c>
      <c r="C32" s="334" t="s">
        <v>2050</v>
      </c>
      <c r="D32" s="333" t="s">
        <v>1966</v>
      </c>
      <c r="E32" s="260">
        <v>2</v>
      </c>
      <c r="F32" s="791"/>
      <c r="G32" s="791"/>
      <c r="H32" s="791"/>
      <c r="I32" s="791"/>
      <c r="J32" s="792"/>
      <c r="K32" s="8"/>
      <c r="L32" s="7"/>
      <c r="M32" s="7"/>
      <c r="N32"/>
      <c r="O32"/>
      <c r="P32"/>
      <c r="Q32">
        <v>15</v>
      </c>
      <c r="R32">
        <v>8</v>
      </c>
      <c r="S32">
        <v>7</v>
      </c>
      <c r="T32">
        <v>4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</row>
    <row r="33" spans="1:42" ht="22.5" customHeight="1">
      <c r="A33" s="5"/>
      <c r="B33" s="75">
        <v>29</v>
      </c>
      <c r="C33" s="342" t="s">
        <v>2051</v>
      </c>
      <c r="D33" s="343" t="s">
        <v>109</v>
      </c>
      <c r="E33" s="261">
        <v>4</v>
      </c>
      <c r="F33" s="818" t="s">
        <v>1971</v>
      </c>
      <c r="G33" s="818"/>
      <c r="H33" s="818"/>
      <c r="I33" s="818"/>
      <c r="J33" s="819"/>
      <c r="K33" s="8"/>
      <c r="L33" s="7"/>
      <c r="M33" s="7"/>
      <c r="N33"/>
      <c r="O33"/>
      <c r="P33"/>
      <c r="Q33">
        <f>Q31*Q32</f>
        <v>9150</v>
      </c>
      <c r="R33">
        <f t="shared" ref="R33" si="1">R31*R32</f>
        <v>6560</v>
      </c>
      <c r="S33">
        <f t="shared" ref="S33" si="2">S31*S32</f>
        <v>8190</v>
      </c>
      <c r="T33">
        <f t="shared" ref="T33" si="3">T31*T32</f>
        <v>7060</v>
      </c>
      <c r="U33">
        <f>SUM(Q33:T33)</f>
        <v>30960</v>
      </c>
      <c r="V33">
        <f>U33/34</f>
        <v>910.58823529411768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</row>
    <row r="34" spans="1:42" ht="22.5" customHeight="1" thickBot="1">
      <c r="A34" s="5"/>
      <c r="B34" s="14">
        <v>30</v>
      </c>
      <c r="C34" s="334" t="s">
        <v>2052</v>
      </c>
      <c r="D34" s="333" t="s">
        <v>75</v>
      </c>
      <c r="E34" s="260">
        <v>1</v>
      </c>
      <c r="F34" s="820"/>
      <c r="G34" s="820"/>
      <c r="H34" s="820"/>
      <c r="I34" s="820"/>
      <c r="J34" s="821"/>
      <c r="K34" s="8"/>
      <c r="L34" s="7"/>
      <c r="M34" s="7"/>
      <c r="N34"/>
      <c r="O34"/>
      <c r="P34"/>
      <c r="Q34"/>
      <c r="R34"/>
      <c r="S34"/>
      <c r="T34"/>
      <c r="U34"/>
      <c r="V34"/>
      <c r="W34">
        <v>2021</v>
      </c>
      <c r="X34">
        <v>685</v>
      </c>
      <c r="Y34">
        <v>790</v>
      </c>
      <c r="Z34">
        <v>1110</v>
      </c>
      <c r="AA34">
        <v>1555</v>
      </c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</row>
    <row r="35" spans="1:42" ht="22.5" customHeight="1">
      <c r="A35" s="5"/>
      <c r="B35" s="74">
        <v>31</v>
      </c>
      <c r="C35" s="341" t="s">
        <v>2053</v>
      </c>
      <c r="D35" s="335" t="s">
        <v>76</v>
      </c>
      <c r="E35" s="259">
        <v>1</v>
      </c>
      <c r="F35" s="822" t="s">
        <v>1970</v>
      </c>
      <c r="G35" s="822"/>
      <c r="H35" s="822"/>
      <c r="I35" s="822"/>
      <c r="J35" s="823"/>
      <c r="K35" s="8"/>
      <c r="L35" s="7"/>
      <c r="M35" s="7"/>
      <c r="N35"/>
      <c r="O35"/>
      <c r="P35"/>
      <c r="Q35"/>
      <c r="R35"/>
      <c r="S35"/>
      <c r="T35"/>
      <c r="U35"/>
      <c r="V35"/>
      <c r="W35"/>
      <c r="X35">
        <v>16</v>
      </c>
      <c r="Y35">
        <v>8</v>
      </c>
      <c r="Z35">
        <v>8</v>
      </c>
      <c r="AA35">
        <v>4</v>
      </c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</row>
    <row r="36" spans="1:42" ht="22.5" customHeight="1" thickBot="1">
      <c r="A36" s="5"/>
      <c r="B36" s="443">
        <v>32</v>
      </c>
      <c r="C36" s="444" t="s">
        <v>2054</v>
      </c>
      <c r="D36" s="445" t="s">
        <v>1967</v>
      </c>
      <c r="E36" s="446">
        <v>3</v>
      </c>
      <c r="F36" s="824"/>
      <c r="G36" s="824"/>
      <c r="H36" s="824"/>
      <c r="I36" s="824"/>
      <c r="J36" s="825"/>
      <c r="K36" s="8"/>
      <c r="L36" s="7"/>
      <c r="M36" s="7"/>
      <c r="N36"/>
      <c r="O36"/>
      <c r="P36"/>
      <c r="Q36"/>
      <c r="R36"/>
      <c r="S36"/>
      <c r="T36"/>
      <c r="U36"/>
      <c r="V36"/>
      <c r="W36"/>
      <c r="X36">
        <f>X34*X35</f>
        <v>10960</v>
      </c>
      <c r="Y36">
        <f t="shared" ref="Y36" si="4">Y34*Y35</f>
        <v>6320</v>
      </c>
      <c r="Z36">
        <f t="shared" ref="Z36" si="5">Z34*Z35</f>
        <v>8880</v>
      </c>
      <c r="AA36">
        <f t="shared" ref="AA36" si="6">AA34*AA35</f>
        <v>6220</v>
      </c>
      <c r="AB36">
        <f>SUM(X36:AA36)</f>
        <v>32380</v>
      </c>
      <c r="AC36">
        <f>AB36/36</f>
        <v>899.44444444444446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</row>
    <row r="37" spans="1:42" ht="22.5" customHeight="1">
      <c r="A37" s="5"/>
      <c r="B37" s="75">
        <v>33</v>
      </c>
      <c r="C37" s="342" t="s">
        <v>2055</v>
      </c>
      <c r="D37" s="343" t="s">
        <v>77</v>
      </c>
      <c r="E37" s="261">
        <v>3</v>
      </c>
      <c r="F37" s="814" t="s">
        <v>1978</v>
      </c>
      <c r="G37" s="793"/>
      <c r="H37" s="793"/>
      <c r="I37" s="793"/>
      <c r="J37" s="794"/>
      <c r="K37" s="8"/>
      <c r="L37" s="7"/>
      <c r="M37" s="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</row>
    <row r="38" spans="1:42" ht="22.5" customHeight="1" thickBot="1">
      <c r="A38" s="5"/>
      <c r="B38" s="447">
        <v>34</v>
      </c>
      <c r="C38" s="448" t="s">
        <v>2056</v>
      </c>
      <c r="D38" s="449" t="s">
        <v>110</v>
      </c>
      <c r="E38" s="450">
        <v>3</v>
      </c>
      <c r="F38" s="815"/>
      <c r="G38" s="816"/>
      <c r="H38" s="816"/>
      <c r="I38" s="816"/>
      <c r="J38" s="817"/>
      <c r="K38" s="8"/>
      <c r="L38" s="7"/>
      <c r="M38" s="7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</row>
    <row r="39" spans="1:42" ht="3" customHeight="1">
      <c r="A39" s="5"/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</row>
    <row r="40" spans="1:42" ht="1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/>
      <c r="O40"/>
      <c r="P40"/>
      <c r="Q40"/>
      <c r="R40"/>
      <c r="S40"/>
      <c r="T40"/>
      <c r="U40"/>
      <c r="V40"/>
      <c r="W40">
        <v>2022</v>
      </c>
      <c r="X40">
        <v>685</v>
      </c>
      <c r="Y40">
        <v>790</v>
      </c>
      <c r="Z40">
        <v>1265</v>
      </c>
      <c r="AA40">
        <v>1855</v>
      </c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</row>
    <row r="41" spans="1:42" ht="15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/>
      <c r="O41"/>
      <c r="P41"/>
      <c r="Q41"/>
      <c r="R41"/>
      <c r="S41"/>
      <c r="T41"/>
      <c r="U41"/>
      <c r="V41"/>
      <c r="W41"/>
      <c r="X41">
        <v>9</v>
      </c>
      <c r="Y41" s="6">
        <v>13</v>
      </c>
      <c r="Z41">
        <v>8</v>
      </c>
      <c r="AA41">
        <v>4</v>
      </c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</row>
    <row r="42" spans="1:42" ht="1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/>
      <c r="O42"/>
      <c r="P42"/>
      <c r="Q42"/>
      <c r="R42"/>
      <c r="S42"/>
      <c r="T42"/>
      <c r="U42"/>
      <c r="V42"/>
      <c r="W42"/>
      <c r="X42">
        <f t="shared" ref="X42:AA42" si="7">X40*X41</f>
        <v>6165</v>
      </c>
      <c r="Y42">
        <f t="shared" si="7"/>
        <v>10270</v>
      </c>
      <c r="Z42">
        <f t="shared" si="7"/>
        <v>10120</v>
      </c>
      <c r="AA42">
        <f t="shared" si="7"/>
        <v>7420</v>
      </c>
      <c r="AB42">
        <f>SUM(X42:AA42)</f>
        <v>33975</v>
      </c>
      <c r="AC42">
        <f>AB42/34</f>
        <v>999.26470588235293</v>
      </c>
      <c r="AD42"/>
      <c r="AE42"/>
      <c r="AF42"/>
      <c r="AG42"/>
      <c r="AH42"/>
      <c r="AI42"/>
      <c r="AJ42"/>
      <c r="AK42"/>
      <c r="AL42"/>
      <c r="AM42"/>
      <c r="AN42"/>
      <c r="AO42"/>
      <c r="AP42"/>
    </row>
    <row r="43" spans="1:42" ht="15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</row>
    <row r="44" spans="1:42" ht="1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</row>
    <row r="45" spans="1:42" ht="15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</row>
    <row r="46" spans="1:42" ht="15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</row>
    <row r="47" spans="1:42" ht="15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/>
      <c r="O47"/>
      <c r="P47"/>
      <c r="Q47"/>
      <c r="R47"/>
      <c r="S47"/>
      <c r="T47"/>
      <c r="U47"/>
      <c r="V47"/>
      <c r="W47"/>
      <c r="X47"/>
      <c r="Y47"/>
      <c r="Z47"/>
      <c r="AA47">
        <v>615</v>
      </c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</row>
    <row r="48" spans="1:42" ht="1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/>
      <c r="O48"/>
      <c r="P48"/>
      <c r="Q48">
        <v>13</v>
      </c>
      <c r="R48">
        <v>15</v>
      </c>
      <c r="S48">
        <v>15</v>
      </c>
      <c r="T48">
        <v>15</v>
      </c>
      <c r="U48">
        <v>9</v>
      </c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</row>
    <row r="49" spans="2:42" ht="1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/>
      <c r="O49"/>
      <c r="P49"/>
      <c r="Q49">
        <v>10</v>
      </c>
      <c r="R49">
        <v>10</v>
      </c>
      <c r="S49">
        <v>9</v>
      </c>
      <c r="T49">
        <v>8</v>
      </c>
      <c r="U49">
        <v>13</v>
      </c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</row>
    <row r="50" spans="2:42" ht="1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/>
      <c r="O50"/>
      <c r="P50"/>
      <c r="Q50">
        <v>7</v>
      </c>
      <c r="R50">
        <v>8</v>
      </c>
      <c r="S50">
        <v>8</v>
      </c>
      <c r="T50">
        <v>8</v>
      </c>
      <c r="U50">
        <v>8</v>
      </c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</row>
    <row r="51" spans="2:42" ht="15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/>
      <c r="O51"/>
      <c r="P51"/>
      <c r="Q51">
        <v>4</v>
      </c>
      <c r="R51">
        <v>4</v>
      </c>
      <c r="S51">
        <v>4</v>
      </c>
      <c r="T51">
        <v>5</v>
      </c>
      <c r="U51">
        <v>4</v>
      </c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</row>
    <row r="52" spans="2:42" ht="15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</row>
    <row r="53" spans="2:42" ht="15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</row>
    <row r="54" spans="2:42" ht="15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</row>
    <row r="55" spans="2:42" ht="15.75" customHeight="1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</row>
    <row r="56" spans="2:42" ht="16.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</row>
    <row r="57" spans="2:42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  <row r="58" spans="2:42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</row>
    <row r="59" spans="2:42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</row>
    <row r="60" spans="2:42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</row>
    <row r="61" spans="2:42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</row>
    <row r="62" spans="2:42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</row>
    <row r="63" spans="2:42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</row>
    <row r="64" spans="2:42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</row>
    <row r="65" spans="2:24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</row>
    <row r="66" spans="2:24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</row>
    <row r="67" spans="2:24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</row>
  </sheetData>
  <mergeCells count="17">
    <mergeCell ref="F37:J38"/>
    <mergeCell ref="F33:J34"/>
    <mergeCell ref="F35:J36"/>
    <mergeCell ref="B2:J2"/>
    <mergeCell ref="F19:J19"/>
    <mergeCell ref="F3:J3"/>
    <mergeCell ref="B3:E3"/>
    <mergeCell ref="F31:J32"/>
    <mergeCell ref="F26:J27"/>
    <mergeCell ref="F17:J18"/>
    <mergeCell ref="F28:J28"/>
    <mergeCell ref="F15:J16"/>
    <mergeCell ref="F14:J14"/>
    <mergeCell ref="F22:J23"/>
    <mergeCell ref="F24:J25"/>
    <mergeCell ref="F20:J21"/>
    <mergeCell ref="F29:J30"/>
  </mergeCells>
  <pageMargins left="0.7" right="0.7" top="0.75" bottom="0.75" header="0.3" footer="0.3"/>
  <pageSetup orientation="portrait" horizontalDpi="300" verticalDpi="300" r:id="rId1"/>
  <customProperties>
    <customPr name="EpmWorksheetKeyString_GUID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F14"/>
  <sheetViews>
    <sheetView zoomScale="115" zoomScaleNormal="115" workbookViewId="0">
      <selection activeCell="F14" sqref="A1:F14"/>
    </sheetView>
  </sheetViews>
  <sheetFormatPr defaultRowHeight="15"/>
  <cols>
    <col min="1" max="1" width="0.7109375" customWidth="1"/>
    <col min="2" max="2" width="32.7109375" customWidth="1"/>
    <col min="3" max="5" width="48.140625" customWidth="1"/>
    <col min="6" max="6" width="0.42578125" customWidth="1"/>
  </cols>
  <sheetData>
    <row r="1" spans="1:6" ht="3.75" customHeight="1" thickBot="1">
      <c r="A1" s="91"/>
      <c r="B1" s="91"/>
      <c r="C1" s="91"/>
      <c r="D1" s="91"/>
      <c r="E1" s="91"/>
      <c r="F1" s="91"/>
    </row>
    <row r="2" spans="1:6" ht="35.25" thickBot="1">
      <c r="A2" s="91"/>
      <c r="B2" s="826" t="s">
        <v>126</v>
      </c>
      <c r="C2" s="826"/>
      <c r="D2" s="826"/>
      <c r="E2" s="827"/>
      <c r="F2" s="5"/>
    </row>
    <row r="3" spans="1:6" ht="27.75" thickBot="1">
      <c r="A3" s="91"/>
      <c r="B3" s="92" t="s">
        <v>90</v>
      </c>
      <c r="C3" s="828" t="s">
        <v>125</v>
      </c>
      <c r="D3" s="829"/>
      <c r="E3" s="830"/>
      <c r="F3" s="5"/>
    </row>
    <row r="4" spans="1:6" ht="25.5">
      <c r="A4" s="91"/>
      <c r="B4" s="276" t="s">
        <v>1969</v>
      </c>
      <c r="C4" s="276" t="s">
        <v>2003</v>
      </c>
      <c r="D4" s="276" t="s">
        <v>2004</v>
      </c>
      <c r="E4" s="276" t="s">
        <v>2011</v>
      </c>
      <c r="F4" s="5"/>
    </row>
    <row r="5" spans="1:6" ht="25.5">
      <c r="A5" s="91"/>
      <c r="B5" s="277" t="s">
        <v>104</v>
      </c>
      <c r="C5" s="277" t="s">
        <v>2089</v>
      </c>
      <c r="D5" s="277" t="s">
        <v>2091</v>
      </c>
      <c r="E5" s="277" t="s">
        <v>2101</v>
      </c>
      <c r="F5" s="5"/>
    </row>
    <row r="6" spans="1:6" ht="25.5">
      <c r="A6" s="91"/>
      <c r="B6" s="460" t="s">
        <v>8</v>
      </c>
      <c r="C6" s="460" t="s">
        <v>2088</v>
      </c>
      <c r="D6" s="461" t="s">
        <v>2092</v>
      </c>
      <c r="E6" s="462" t="s">
        <v>2009</v>
      </c>
      <c r="F6" s="5"/>
    </row>
    <row r="7" spans="1:6" ht="25.5">
      <c r="A7" s="91"/>
      <c r="B7" s="174" t="s">
        <v>11</v>
      </c>
      <c r="C7" s="174" t="s">
        <v>2006</v>
      </c>
      <c r="D7" s="175" t="s">
        <v>2013</v>
      </c>
      <c r="E7" s="176" t="s">
        <v>2012</v>
      </c>
      <c r="F7" s="5"/>
    </row>
    <row r="8" spans="1:6" ht="25.5">
      <c r="A8" s="91"/>
      <c r="B8" s="463" t="s">
        <v>1968</v>
      </c>
      <c r="C8" s="463" t="s">
        <v>1999</v>
      </c>
      <c r="D8" s="464" t="s">
        <v>2093</v>
      </c>
      <c r="E8" s="465" t="s">
        <v>2100</v>
      </c>
      <c r="F8" s="5"/>
    </row>
    <row r="9" spans="1:6" ht="25.5">
      <c r="A9" s="91"/>
      <c r="B9" s="454" t="s">
        <v>14</v>
      </c>
      <c r="C9" s="454" t="s">
        <v>1998</v>
      </c>
      <c r="D9" s="455" t="s">
        <v>2000</v>
      </c>
      <c r="E9" s="456" t="s">
        <v>2099</v>
      </c>
      <c r="F9" s="5"/>
    </row>
    <row r="10" spans="1:6" ht="25.5">
      <c r="A10" s="91"/>
      <c r="B10" s="177" t="s">
        <v>10</v>
      </c>
      <c r="C10" s="177" t="s">
        <v>2005</v>
      </c>
      <c r="D10" s="178" t="s">
        <v>2094</v>
      </c>
      <c r="E10" s="179" t="s">
        <v>2098</v>
      </c>
      <c r="F10" s="5"/>
    </row>
    <row r="11" spans="1:6" ht="25.5">
      <c r="A11" s="91"/>
      <c r="B11" s="457" t="s">
        <v>12</v>
      </c>
      <c r="C11" s="457" t="s">
        <v>2008</v>
      </c>
      <c r="D11" s="458" t="s">
        <v>2095</v>
      </c>
      <c r="E11" s="459" t="s">
        <v>2097</v>
      </c>
      <c r="F11" s="5"/>
    </row>
    <row r="12" spans="1:6" ht="25.5">
      <c r="A12" s="91"/>
      <c r="B12" s="273" t="s">
        <v>13</v>
      </c>
      <c r="C12" s="273" t="s">
        <v>2002</v>
      </c>
      <c r="D12" s="274" t="s">
        <v>2001</v>
      </c>
      <c r="E12" s="275" t="s">
        <v>2007</v>
      </c>
      <c r="F12" s="5"/>
    </row>
    <row r="13" spans="1:6" ht="25.5">
      <c r="A13" s="91"/>
      <c r="B13" s="171" t="s">
        <v>9</v>
      </c>
      <c r="C13" s="171" t="s">
        <v>2090</v>
      </c>
      <c r="D13" s="172" t="s">
        <v>2010</v>
      </c>
      <c r="E13" s="173" t="s">
        <v>2096</v>
      </c>
      <c r="F13" s="5"/>
    </row>
    <row r="14" spans="1:6" ht="2.25" customHeight="1">
      <c r="A14" s="91"/>
      <c r="B14" s="5"/>
      <c r="C14" s="5"/>
      <c r="D14" s="5"/>
      <c r="E14" s="37"/>
      <c r="F14" s="5"/>
    </row>
  </sheetData>
  <mergeCells count="2">
    <mergeCell ref="B2:E2"/>
    <mergeCell ref="C3:E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R83"/>
  <sheetViews>
    <sheetView zoomScaleNormal="100" workbookViewId="0">
      <selection activeCell="K35" sqref="A1:K35"/>
    </sheetView>
  </sheetViews>
  <sheetFormatPr defaultColWidth="9.140625" defaultRowHeight="14.25"/>
  <cols>
    <col min="1" max="1" width="0.7109375" style="6" customWidth="1"/>
    <col min="2" max="2" width="12" style="6" customWidth="1"/>
    <col min="3" max="3" width="14.85546875" style="6" customWidth="1"/>
    <col min="4" max="5" width="29.5703125" style="6" customWidth="1"/>
    <col min="6" max="6" width="9.5703125" style="6" customWidth="1"/>
    <col min="7" max="7" width="11.7109375" style="6" customWidth="1"/>
    <col min="8" max="8" width="33.7109375" style="6" customWidth="1"/>
    <col min="9" max="9" width="12.5703125" style="6" customWidth="1"/>
    <col min="10" max="10" width="33.7109375" style="6" customWidth="1"/>
    <col min="11" max="11" width="0.5703125" style="6" customWidth="1"/>
    <col min="12" max="16384" width="9.140625" style="6"/>
  </cols>
  <sheetData>
    <row r="1" spans="1:18" ht="3.7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</row>
    <row r="2" spans="1:18" ht="51" customHeight="1" thickBot="1">
      <c r="A2" s="5"/>
      <c r="B2" s="781" t="s">
        <v>78</v>
      </c>
      <c r="C2" s="782"/>
      <c r="D2" s="782"/>
      <c r="E2" s="782"/>
      <c r="F2" s="782"/>
      <c r="G2" s="782"/>
      <c r="H2" s="782"/>
      <c r="I2" s="782"/>
      <c r="J2" s="783"/>
      <c r="K2" s="5"/>
    </row>
    <row r="3" spans="1:18" ht="27" customHeight="1" thickBot="1">
      <c r="A3" s="5"/>
      <c r="B3" s="831" t="s">
        <v>79</v>
      </c>
      <c r="C3" s="832"/>
      <c r="D3" s="832"/>
      <c r="E3" s="832"/>
      <c r="F3" s="831" t="s">
        <v>80</v>
      </c>
      <c r="G3" s="832"/>
      <c r="H3" s="832"/>
      <c r="I3" s="832"/>
      <c r="J3" s="833"/>
      <c r="K3" s="5"/>
    </row>
    <row r="4" spans="1:18" ht="22.5" customHeight="1" thickBot="1">
      <c r="A4" s="5"/>
      <c r="B4" s="405" t="s">
        <v>81</v>
      </c>
      <c r="C4" s="406" t="s">
        <v>2</v>
      </c>
      <c r="D4" s="406" t="s">
        <v>82</v>
      </c>
      <c r="E4" s="406" t="s">
        <v>83</v>
      </c>
      <c r="F4" s="485" t="s">
        <v>81</v>
      </c>
      <c r="G4" s="486" t="s">
        <v>84</v>
      </c>
      <c r="H4" s="486" t="s">
        <v>85</v>
      </c>
      <c r="I4" s="486" t="s">
        <v>86</v>
      </c>
      <c r="J4" s="487" t="s">
        <v>87</v>
      </c>
      <c r="K4" s="5"/>
      <c r="N4"/>
      <c r="O4"/>
      <c r="P4"/>
      <c r="Q4"/>
      <c r="R4"/>
    </row>
    <row r="5" spans="1:18" ht="18.75" customHeight="1">
      <c r="A5" s="5"/>
      <c r="B5" s="392" t="s">
        <v>2195</v>
      </c>
      <c r="C5" s="393" t="s">
        <v>13</v>
      </c>
      <c r="D5" s="394" t="s">
        <v>2160</v>
      </c>
      <c r="E5" s="395" t="s">
        <v>2196</v>
      </c>
      <c r="F5" s="488" t="s">
        <v>2203</v>
      </c>
      <c r="G5" s="489" t="s">
        <v>104</v>
      </c>
      <c r="H5" s="489" t="s">
        <v>2205</v>
      </c>
      <c r="I5" s="489" t="s">
        <v>14</v>
      </c>
      <c r="J5" s="490" t="s">
        <v>2204</v>
      </c>
      <c r="K5" s="5"/>
      <c r="N5"/>
      <c r="O5"/>
      <c r="P5"/>
      <c r="Q5"/>
      <c r="R5"/>
    </row>
    <row r="6" spans="1:18" ht="18.75" customHeight="1">
      <c r="A6" s="5"/>
      <c r="B6" s="396" t="s">
        <v>2202</v>
      </c>
      <c r="C6" s="397" t="s">
        <v>1968</v>
      </c>
      <c r="D6" s="397" t="s">
        <v>2173</v>
      </c>
      <c r="E6" s="398" t="s">
        <v>2201</v>
      </c>
      <c r="F6" s="834"/>
      <c r="G6" s="835"/>
      <c r="H6" s="835"/>
      <c r="I6" s="835"/>
      <c r="J6" s="836"/>
      <c r="K6" s="5"/>
      <c r="N6"/>
      <c r="O6"/>
      <c r="P6"/>
      <c r="Q6"/>
      <c r="R6"/>
    </row>
    <row r="7" spans="1:18" ht="18.75" customHeight="1">
      <c r="A7" s="5"/>
      <c r="B7" s="399" t="s">
        <v>2208</v>
      </c>
      <c r="C7" s="400" t="s">
        <v>11</v>
      </c>
      <c r="D7" s="400" t="s">
        <v>2146</v>
      </c>
      <c r="E7" s="401" t="s">
        <v>2206</v>
      </c>
      <c r="F7" s="834"/>
      <c r="G7" s="835"/>
      <c r="H7" s="835"/>
      <c r="I7" s="835"/>
      <c r="J7" s="836"/>
      <c r="K7" s="5"/>
      <c r="N7"/>
      <c r="O7"/>
      <c r="P7"/>
      <c r="Q7"/>
      <c r="R7"/>
    </row>
    <row r="8" spans="1:18" ht="18.75" customHeight="1">
      <c r="A8" s="5"/>
      <c r="B8" s="396" t="s">
        <v>2208</v>
      </c>
      <c r="C8" s="397" t="s">
        <v>13</v>
      </c>
      <c r="D8" s="397" t="s">
        <v>2196</v>
      </c>
      <c r="E8" s="398" t="s">
        <v>2207</v>
      </c>
      <c r="F8" s="834"/>
      <c r="G8" s="835"/>
      <c r="H8" s="835"/>
      <c r="I8" s="835"/>
      <c r="J8" s="836"/>
      <c r="K8" s="5"/>
      <c r="N8"/>
      <c r="O8"/>
      <c r="P8"/>
      <c r="Q8"/>
      <c r="R8"/>
    </row>
    <row r="9" spans="1:18" ht="18.75" customHeight="1">
      <c r="A9" s="5"/>
      <c r="B9" s="399"/>
      <c r="C9" s="400"/>
      <c r="D9" s="400"/>
      <c r="E9" s="401"/>
      <c r="F9" s="834"/>
      <c r="G9" s="835"/>
      <c r="H9" s="835"/>
      <c r="I9" s="835"/>
      <c r="J9" s="836"/>
      <c r="K9" s="5"/>
      <c r="N9"/>
      <c r="O9"/>
      <c r="P9"/>
      <c r="Q9"/>
      <c r="R9"/>
    </row>
    <row r="10" spans="1:18" ht="18.75" customHeight="1">
      <c r="A10" s="5"/>
      <c r="B10" s="396"/>
      <c r="C10" s="397"/>
      <c r="D10" s="397"/>
      <c r="E10" s="398"/>
      <c r="F10" s="834"/>
      <c r="G10" s="835"/>
      <c r="H10" s="835"/>
      <c r="I10" s="835"/>
      <c r="J10" s="836"/>
      <c r="K10" s="5"/>
      <c r="N10"/>
      <c r="O10"/>
      <c r="P10"/>
      <c r="Q10"/>
      <c r="R10"/>
    </row>
    <row r="11" spans="1:18" ht="18.75" customHeight="1">
      <c r="A11" s="5"/>
      <c r="B11" s="399"/>
      <c r="C11" s="400"/>
      <c r="D11" s="400"/>
      <c r="E11" s="401"/>
      <c r="F11" s="834"/>
      <c r="G11" s="835"/>
      <c r="H11" s="835"/>
      <c r="I11" s="835"/>
      <c r="J11" s="836"/>
      <c r="K11" s="5"/>
      <c r="N11"/>
      <c r="O11"/>
      <c r="P11"/>
      <c r="Q11"/>
      <c r="R11"/>
    </row>
    <row r="12" spans="1:18" ht="18.75" customHeight="1">
      <c r="A12" s="5"/>
      <c r="B12" s="396"/>
      <c r="C12" s="397"/>
      <c r="D12" s="397"/>
      <c r="E12" s="398"/>
      <c r="F12" s="834"/>
      <c r="G12" s="835"/>
      <c r="H12" s="835"/>
      <c r="I12" s="835"/>
      <c r="J12" s="836"/>
      <c r="K12" s="5"/>
      <c r="N12"/>
      <c r="O12"/>
      <c r="P12"/>
      <c r="Q12"/>
      <c r="R12"/>
    </row>
    <row r="13" spans="1:18" ht="18.75" customHeight="1">
      <c r="A13" s="5"/>
      <c r="B13" s="399"/>
      <c r="C13" s="400"/>
      <c r="D13" s="400"/>
      <c r="E13" s="401"/>
      <c r="F13" s="834"/>
      <c r="G13" s="835"/>
      <c r="H13" s="835"/>
      <c r="I13" s="835"/>
      <c r="J13" s="836"/>
      <c r="K13" s="5"/>
      <c r="N13"/>
      <c r="O13"/>
      <c r="P13"/>
      <c r="Q13"/>
      <c r="R13"/>
    </row>
    <row r="14" spans="1:18" ht="18.75" customHeight="1">
      <c r="A14" s="5"/>
      <c r="B14" s="396"/>
      <c r="C14" s="397"/>
      <c r="D14" s="397"/>
      <c r="E14" s="398"/>
      <c r="F14" s="834"/>
      <c r="G14" s="835"/>
      <c r="H14" s="835"/>
      <c r="I14" s="835"/>
      <c r="J14" s="836"/>
      <c r="K14" s="5"/>
      <c r="N14"/>
      <c r="O14"/>
      <c r="P14"/>
      <c r="Q14"/>
      <c r="R14"/>
    </row>
    <row r="15" spans="1:18" ht="18.75" customHeight="1">
      <c r="A15" s="5"/>
      <c r="B15" s="399"/>
      <c r="C15" s="400"/>
      <c r="D15" s="400"/>
      <c r="E15" s="401"/>
      <c r="F15" s="834"/>
      <c r="G15" s="835"/>
      <c r="H15" s="835"/>
      <c r="I15" s="835"/>
      <c r="J15" s="836"/>
      <c r="K15" s="5"/>
      <c r="N15"/>
      <c r="O15"/>
      <c r="P15"/>
      <c r="Q15"/>
      <c r="R15"/>
    </row>
    <row r="16" spans="1:18" ht="18.75" customHeight="1">
      <c r="A16" s="5"/>
      <c r="B16" s="396"/>
      <c r="C16" s="397"/>
      <c r="D16" s="397"/>
      <c r="E16" s="398"/>
      <c r="F16" s="834"/>
      <c r="G16" s="835"/>
      <c r="H16" s="835"/>
      <c r="I16" s="835"/>
      <c r="J16" s="836"/>
      <c r="K16" s="5"/>
      <c r="N16"/>
      <c r="O16"/>
      <c r="P16"/>
      <c r="Q16"/>
      <c r="R16"/>
    </row>
    <row r="17" spans="1:18" ht="18.75" customHeight="1">
      <c r="A17" s="5"/>
      <c r="B17" s="399"/>
      <c r="C17" s="400"/>
      <c r="D17" s="400"/>
      <c r="E17" s="401"/>
      <c r="F17" s="834"/>
      <c r="G17" s="835"/>
      <c r="H17" s="835"/>
      <c r="I17" s="835"/>
      <c r="J17" s="836"/>
      <c r="K17" s="5"/>
      <c r="N17"/>
      <c r="O17"/>
      <c r="P17"/>
      <c r="Q17"/>
      <c r="R17"/>
    </row>
    <row r="18" spans="1:18" ht="18.75" customHeight="1">
      <c r="A18" s="5"/>
      <c r="B18" s="396"/>
      <c r="C18" s="397"/>
      <c r="D18" s="397"/>
      <c r="E18" s="398"/>
      <c r="F18" s="834"/>
      <c r="G18" s="835"/>
      <c r="H18" s="835"/>
      <c r="I18" s="835"/>
      <c r="J18" s="836"/>
      <c r="K18" s="5"/>
    </row>
    <row r="19" spans="1:18" ht="18.75" customHeight="1">
      <c r="A19" s="5"/>
      <c r="B19" s="399"/>
      <c r="C19" s="400"/>
      <c r="D19" s="400"/>
      <c r="E19" s="401"/>
      <c r="F19" s="834"/>
      <c r="G19" s="835"/>
      <c r="H19" s="835"/>
      <c r="I19" s="835"/>
      <c r="J19" s="836"/>
      <c r="K19" s="5"/>
    </row>
    <row r="20" spans="1:18" ht="18.75" customHeight="1">
      <c r="A20" s="5"/>
      <c r="B20" s="396"/>
      <c r="C20" s="397"/>
      <c r="D20" s="397"/>
      <c r="E20" s="398"/>
      <c r="F20" s="834"/>
      <c r="G20" s="835"/>
      <c r="H20" s="835"/>
      <c r="I20" s="835"/>
      <c r="J20" s="836"/>
      <c r="K20" s="5"/>
    </row>
    <row r="21" spans="1:18" ht="18.75" customHeight="1">
      <c r="A21" s="5"/>
      <c r="B21" s="399"/>
      <c r="C21" s="400"/>
      <c r="D21" s="400"/>
      <c r="E21" s="401"/>
      <c r="F21" s="834"/>
      <c r="G21" s="835"/>
      <c r="H21" s="835"/>
      <c r="I21" s="835"/>
      <c r="J21" s="836"/>
      <c r="K21" s="5"/>
    </row>
    <row r="22" spans="1:18" ht="18.75" customHeight="1">
      <c r="A22" s="5"/>
      <c r="B22" s="396"/>
      <c r="C22" s="397"/>
      <c r="D22" s="397"/>
      <c r="E22" s="398"/>
      <c r="F22" s="834"/>
      <c r="G22" s="835"/>
      <c r="H22" s="835"/>
      <c r="I22" s="835"/>
      <c r="J22" s="836"/>
      <c r="K22" s="5"/>
    </row>
    <row r="23" spans="1:18" ht="18.75" customHeight="1">
      <c r="A23" s="5"/>
      <c r="B23" s="399"/>
      <c r="C23" s="400"/>
      <c r="D23" s="400"/>
      <c r="E23" s="401"/>
      <c r="F23" s="834"/>
      <c r="G23" s="835"/>
      <c r="H23" s="835"/>
      <c r="I23" s="835"/>
      <c r="J23" s="836"/>
      <c r="K23" s="5"/>
    </row>
    <row r="24" spans="1:18" ht="18.75" customHeight="1">
      <c r="A24" s="5"/>
      <c r="B24" s="396"/>
      <c r="C24" s="397"/>
      <c r="D24" s="397"/>
      <c r="E24" s="398"/>
      <c r="F24" s="834"/>
      <c r="G24" s="835"/>
      <c r="H24" s="835"/>
      <c r="I24" s="835"/>
      <c r="J24" s="836"/>
      <c r="K24" s="5"/>
    </row>
    <row r="25" spans="1:18" ht="18.75" customHeight="1">
      <c r="A25" s="5"/>
      <c r="B25" s="399"/>
      <c r="C25" s="400"/>
      <c r="D25" s="400"/>
      <c r="E25" s="401"/>
      <c r="F25" s="834"/>
      <c r="G25" s="835"/>
      <c r="H25" s="835"/>
      <c r="I25" s="835"/>
      <c r="J25" s="836"/>
      <c r="K25" s="5"/>
    </row>
    <row r="26" spans="1:18" ht="18.75" customHeight="1">
      <c r="A26" s="5"/>
      <c r="B26" s="396"/>
      <c r="C26" s="397"/>
      <c r="D26" s="397"/>
      <c r="E26" s="398"/>
      <c r="F26" s="834"/>
      <c r="G26" s="835"/>
      <c r="H26" s="835"/>
      <c r="I26" s="835"/>
      <c r="J26" s="836"/>
      <c r="K26" s="5"/>
    </row>
    <row r="27" spans="1:18" ht="18.75" customHeight="1">
      <c r="A27" s="5"/>
      <c r="B27" s="399"/>
      <c r="C27" s="400"/>
      <c r="D27" s="400"/>
      <c r="E27" s="401"/>
      <c r="F27" s="834"/>
      <c r="G27" s="835"/>
      <c r="H27" s="835"/>
      <c r="I27" s="835"/>
      <c r="J27" s="836"/>
      <c r="K27" s="5"/>
    </row>
    <row r="28" spans="1:18" ht="18.75" customHeight="1">
      <c r="A28" s="5"/>
      <c r="B28" s="396"/>
      <c r="C28" s="397"/>
      <c r="D28" s="397"/>
      <c r="E28" s="398"/>
      <c r="F28" s="834"/>
      <c r="G28" s="835"/>
      <c r="H28" s="835"/>
      <c r="I28" s="835"/>
      <c r="J28" s="836"/>
      <c r="K28" s="5"/>
    </row>
    <row r="29" spans="1:18" ht="18.75" customHeight="1">
      <c r="A29" s="5"/>
      <c r="B29" s="399"/>
      <c r="C29" s="400"/>
      <c r="D29" s="400"/>
      <c r="E29" s="401"/>
      <c r="F29" s="834"/>
      <c r="G29" s="835"/>
      <c r="H29" s="835"/>
      <c r="I29" s="835"/>
      <c r="J29" s="836"/>
      <c r="K29" s="5"/>
    </row>
    <row r="30" spans="1:18" ht="18.75" customHeight="1">
      <c r="A30" s="5"/>
      <c r="B30" s="396"/>
      <c r="C30" s="397"/>
      <c r="D30" s="397"/>
      <c r="E30" s="398"/>
      <c r="F30" s="834"/>
      <c r="G30" s="835"/>
      <c r="H30" s="835"/>
      <c r="I30" s="835"/>
      <c r="J30" s="836"/>
      <c r="K30" s="5"/>
    </row>
    <row r="31" spans="1:18" ht="18.75" customHeight="1">
      <c r="A31" s="5"/>
      <c r="B31" s="399"/>
      <c r="C31" s="400"/>
      <c r="D31" s="400"/>
      <c r="E31" s="401"/>
      <c r="F31" s="834"/>
      <c r="G31" s="835"/>
      <c r="H31" s="835"/>
      <c r="I31" s="835"/>
      <c r="J31" s="836"/>
      <c r="K31" s="5"/>
    </row>
    <row r="32" spans="1:18" ht="18.75" customHeight="1">
      <c r="A32" s="5"/>
      <c r="B32" s="396"/>
      <c r="C32" s="397"/>
      <c r="D32" s="397"/>
      <c r="E32" s="398"/>
      <c r="F32" s="834"/>
      <c r="G32" s="835"/>
      <c r="H32" s="835"/>
      <c r="I32" s="835"/>
      <c r="J32" s="836"/>
      <c r="K32" s="5"/>
    </row>
    <row r="33" spans="1:11" ht="18.75" customHeight="1">
      <c r="A33" s="5"/>
      <c r="B33" s="399"/>
      <c r="C33" s="400"/>
      <c r="D33" s="400"/>
      <c r="E33" s="401"/>
      <c r="F33" s="834"/>
      <c r="G33" s="835"/>
      <c r="H33" s="835"/>
      <c r="I33" s="835"/>
      <c r="J33" s="836"/>
      <c r="K33" s="5"/>
    </row>
    <row r="34" spans="1:11" ht="18.75" customHeight="1" thickBot="1">
      <c r="A34" s="5"/>
      <c r="B34" s="402"/>
      <c r="C34" s="403"/>
      <c r="D34" s="403"/>
      <c r="E34" s="404"/>
      <c r="F34" s="837"/>
      <c r="G34" s="838"/>
      <c r="H34" s="838"/>
      <c r="I34" s="838"/>
      <c r="J34" s="839"/>
      <c r="K34" s="5"/>
    </row>
    <row r="35" spans="1:11" ht="3" customHeight="1">
      <c r="A35" s="5"/>
      <c r="B35" s="16"/>
      <c r="C35" s="16"/>
      <c r="D35" s="16"/>
      <c r="E35" s="16"/>
      <c r="F35" s="16"/>
      <c r="G35" s="16"/>
      <c r="H35" s="16"/>
      <c r="I35" s="16"/>
      <c r="J35" s="16"/>
      <c r="K35" s="5"/>
    </row>
    <row r="36" spans="1:11" ht="15">
      <c r="B36" s="17"/>
      <c r="C36" s="17"/>
      <c r="D36" s="17"/>
      <c r="E36" s="17"/>
      <c r="F36" s="17"/>
      <c r="G36" s="17"/>
      <c r="H36" s="17"/>
      <c r="I36" s="17"/>
      <c r="J36" s="17"/>
    </row>
    <row r="37" spans="1:11" ht="15">
      <c r="B37" s="17"/>
      <c r="C37" s="17"/>
      <c r="D37" s="17"/>
      <c r="E37" s="17"/>
      <c r="F37" s="17"/>
      <c r="G37" s="17"/>
      <c r="H37" s="17"/>
      <c r="I37" s="17"/>
      <c r="J37" s="17"/>
    </row>
    <row r="38" spans="1:11" ht="15">
      <c r="B38" s="17"/>
      <c r="C38" s="17"/>
      <c r="D38" s="17"/>
      <c r="E38" s="17"/>
      <c r="F38" s="17"/>
      <c r="G38" s="17"/>
      <c r="H38" s="17"/>
      <c r="I38" s="17"/>
      <c r="J38" s="17"/>
    </row>
    <row r="39" spans="1:11" ht="15">
      <c r="B39" s="17"/>
      <c r="C39" s="17"/>
      <c r="D39" s="17"/>
      <c r="E39" s="17"/>
      <c r="F39" s="17"/>
      <c r="G39" s="17"/>
      <c r="H39" s="17"/>
      <c r="I39" s="17"/>
      <c r="J39" s="17"/>
    </row>
    <row r="40" spans="1:11" ht="15">
      <c r="B40" s="17"/>
      <c r="C40" s="17"/>
      <c r="D40" s="17"/>
      <c r="E40" s="17"/>
      <c r="F40" s="17"/>
      <c r="G40" s="17"/>
      <c r="H40" s="17"/>
      <c r="I40" s="17"/>
      <c r="J40" s="17"/>
    </row>
    <row r="41" spans="1:11" ht="15">
      <c r="B41" s="17"/>
      <c r="C41" s="17"/>
      <c r="D41" s="17"/>
      <c r="E41" s="17"/>
      <c r="F41" s="17"/>
      <c r="G41" s="17"/>
      <c r="H41" s="17"/>
      <c r="I41" s="17"/>
      <c r="J41" s="17"/>
    </row>
    <row r="42" spans="1:11" ht="15">
      <c r="B42" s="17"/>
      <c r="C42" s="17"/>
      <c r="D42" s="17"/>
      <c r="E42" s="17"/>
      <c r="F42" s="17"/>
      <c r="G42" s="17"/>
      <c r="H42" s="17"/>
      <c r="I42" s="17"/>
      <c r="J42" s="17"/>
    </row>
    <row r="43" spans="1:11" ht="15">
      <c r="B43" s="17"/>
      <c r="C43" s="17"/>
      <c r="D43" s="17"/>
      <c r="E43" s="17"/>
      <c r="F43" s="17"/>
      <c r="G43" s="17"/>
      <c r="H43" s="17"/>
      <c r="I43" s="17"/>
      <c r="J43" s="17"/>
    </row>
    <row r="44" spans="1:11" ht="15">
      <c r="B44" s="17"/>
      <c r="C44" s="17"/>
      <c r="D44" s="17"/>
      <c r="E44" s="17"/>
      <c r="F44" s="17"/>
      <c r="G44" s="17"/>
      <c r="H44" s="17"/>
      <c r="I44" s="17"/>
      <c r="J44" s="17"/>
    </row>
    <row r="45" spans="1:11" ht="15">
      <c r="B45" s="17"/>
      <c r="C45" s="17"/>
      <c r="D45" s="17"/>
      <c r="E45" s="17"/>
      <c r="F45" s="17"/>
      <c r="G45" s="17"/>
      <c r="H45" s="17"/>
      <c r="I45" s="17"/>
      <c r="J45" s="17"/>
    </row>
    <row r="46" spans="1:11" ht="15">
      <c r="B46" s="17"/>
      <c r="C46" s="17"/>
      <c r="D46" s="17"/>
      <c r="E46" s="17"/>
      <c r="F46" s="17"/>
      <c r="G46" s="17"/>
      <c r="H46" s="17"/>
      <c r="I46" s="17"/>
      <c r="J46" s="17"/>
    </row>
    <row r="47" spans="1:11" ht="15">
      <c r="B47" s="17"/>
      <c r="C47" s="17"/>
      <c r="D47" s="17"/>
      <c r="E47" s="17"/>
      <c r="F47" s="17"/>
      <c r="G47" s="17"/>
      <c r="H47" s="17"/>
      <c r="I47" s="17"/>
      <c r="J47" s="17"/>
    </row>
    <row r="48" spans="1:11" ht="15">
      <c r="B48" s="17"/>
      <c r="C48" s="17"/>
      <c r="D48" s="17"/>
      <c r="E48" s="17"/>
      <c r="F48" s="17"/>
      <c r="G48" s="17"/>
      <c r="H48" s="17"/>
      <c r="I48" s="17"/>
      <c r="J48" s="17"/>
    </row>
    <row r="49" spans="2:10" ht="15">
      <c r="B49" s="17"/>
      <c r="C49" s="17"/>
      <c r="D49" s="17"/>
      <c r="E49" s="17"/>
      <c r="F49" s="17"/>
      <c r="G49" s="17"/>
      <c r="H49" s="17"/>
      <c r="I49" s="17"/>
      <c r="J49" s="17"/>
    </row>
    <row r="50" spans="2:10" ht="15">
      <c r="B50" s="17"/>
      <c r="C50" s="17"/>
      <c r="D50" s="17"/>
      <c r="E50" s="17"/>
      <c r="F50" s="17"/>
      <c r="G50" s="17"/>
      <c r="H50" s="17"/>
      <c r="I50" s="17"/>
      <c r="J50" s="17"/>
    </row>
    <row r="51" spans="2:10" ht="15">
      <c r="B51" s="17"/>
      <c r="C51" s="17"/>
      <c r="D51" s="17"/>
      <c r="E51" s="17"/>
      <c r="F51" s="17"/>
      <c r="G51" s="17"/>
      <c r="H51" s="17"/>
      <c r="I51" s="17"/>
      <c r="J51" s="17"/>
    </row>
    <row r="52" spans="2:10" ht="15">
      <c r="B52" s="18"/>
      <c r="C52" s="18"/>
      <c r="D52" s="18"/>
      <c r="E52" s="18"/>
      <c r="F52" s="18"/>
      <c r="G52" s="18"/>
      <c r="H52" s="18"/>
      <c r="I52" s="18"/>
      <c r="J52" s="18"/>
    </row>
    <row r="53" spans="2:10" ht="15">
      <c r="B53" s="18"/>
      <c r="C53" s="18"/>
      <c r="D53" s="18"/>
      <c r="E53" s="18"/>
      <c r="F53" s="18"/>
      <c r="G53" s="18"/>
      <c r="H53" s="18"/>
      <c r="I53" s="18"/>
      <c r="J53" s="18"/>
    </row>
    <row r="54" spans="2:10" ht="15">
      <c r="B54" s="18"/>
      <c r="C54" s="18"/>
      <c r="D54" s="18"/>
      <c r="E54" s="18"/>
      <c r="F54" s="18"/>
      <c r="G54" s="18"/>
      <c r="H54" s="18"/>
      <c r="I54" s="18"/>
      <c r="J54" s="18"/>
    </row>
    <row r="55" spans="2:10" ht="15">
      <c r="B55" s="18"/>
      <c r="C55" s="18"/>
      <c r="D55" s="18"/>
      <c r="E55" s="18"/>
      <c r="F55" s="18"/>
      <c r="G55" s="18"/>
      <c r="H55" s="18"/>
      <c r="I55" s="18"/>
      <c r="J55" s="18"/>
    </row>
    <row r="56" spans="2:10" ht="15">
      <c r="B56" s="18"/>
      <c r="C56" s="18"/>
      <c r="D56" s="18"/>
      <c r="E56" s="18"/>
      <c r="F56" s="18"/>
      <c r="G56" s="18"/>
      <c r="H56" s="18"/>
      <c r="I56" s="18"/>
      <c r="J56" s="18"/>
    </row>
    <row r="57" spans="2:10" ht="15">
      <c r="B57" s="18"/>
      <c r="C57" s="18"/>
      <c r="D57" s="18"/>
      <c r="E57" s="18"/>
      <c r="F57" s="18"/>
      <c r="G57" s="18"/>
      <c r="H57" s="18"/>
      <c r="I57" s="18"/>
      <c r="J57" s="18"/>
    </row>
    <row r="58" spans="2:10" ht="15">
      <c r="B58" s="18"/>
      <c r="C58" s="18"/>
      <c r="D58" s="18"/>
      <c r="E58" s="18"/>
      <c r="F58" s="18"/>
      <c r="G58" s="18"/>
      <c r="H58" s="18"/>
      <c r="I58" s="18"/>
      <c r="J58" s="18"/>
    </row>
    <row r="59" spans="2:10" ht="15">
      <c r="B59" s="18"/>
      <c r="C59" s="18"/>
      <c r="D59" s="18"/>
      <c r="E59" s="18"/>
      <c r="F59" s="18"/>
      <c r="G59" s="18"/>
      <c r="H59" s="18"/>
      <c r="I59" s="18"/>
      <c r="J59" s="18"/>
    </row>
    <row r="60" spans="2:10" ht="15">
      <c r="B60" s="18"/>
      <c r="C60" s="18"/>
      <c r="D60" s="18"/>
      <c r="E60" s="18"/>
      <c r="F60" s="18"/>
      <c r="G60" s="18"/>
      <c r="H60" s="18"/>
      <c r="I60" s="18"/>
      <c r="J60" s="18"/>
    </row>
    <row r="61" spans="2:10" ht="15">
      <c r="B61" s="18"/>
      <c r="C61" s="18"/>
      <c r="D61" s="18"/>
      <c r="E61" s="18"/>
      <c r="F61" s="18"/>
      <c r="G61" s="18"/>
      <c r="H61" s="18"/>
      <c r="I61" s="18"/>
      <c r="J61" s="18"/>
    </row>
    <row r="62" spans="2:10" ht="15">
      <c r="B62" s="18"/>
      <c r="C62" s="18"/>
      <c r="D62" s="18"/>
      <c r="E62" s="18"/>
      <c r="F62" s="18"/>
      <c r="G62" s="18"/>
      <c r="H62" s="18"/>
      <c r="I62" s="18"/>
      <c r="J62" s="18"/>
    </row>
    <row r="63" spans="2:10" ht="15">
      <c r="B63" s="18"/>
      <c r="C63" s="18"/>
      <c r="D63" s="18"/>
      <c r="E63" s="18"/>
      <c r="F63" s="18"/>
      <c r="G63" s="18"/>
      <c r="H63" s="18"/>
      <c r="I63" s="18"/>
      <c r="J63" s="18"/>
    </row>
    <row r="64" spans="2:10" ht="15">
      <c r="B64" s="18"/>
      <c r="C64" s="18"/>
      <c r="D64" s="18"/>
      <c r="E64" s="18"/>
      <c r="F64" s="18"/>
      <c r="G64" s="18"/>
      <c r="H64" s="18"/>
      <c r="I64" s="18"/>
      <c r="J64" s="18"/>
    </row>
    <row r="65" spans="2:10" ht="15">
      <c r="B65" s="18"/>
      <c r="C65" s="18"/>
      <c r="D65" s="18"/>
      <c r="E65" s="18"/>
      <c r="F65" s="18"/>
      <c r="G65" s="18"/>
      <c r="H65" s="18"/>
      <c r="I65" s="18"/>
      <c r="J65" s="18"/>
    </row>
    <row r="66" spans="2:10" ht="15">
      <c r="B66" s="18"/>
      <c r="C66" s="18"/>
      <c r="D66" s="18"/>
      <c r="E66" s="18"/>
      <c r="F66" s="18"/>
      <c r="G66" s="18"/>
      <c r="H66" s="18"/>
      <c r="I66" s="18"/>
      <c r="J66" s="18"/>
    </row>
    <row r="67" spans="2:10" ht="15">
      <c r="B67" s="18"/>
      <c r="C67" s="18"/>
      <c r="D67" s="18"/>
      <c r="E67" s="18"/>
      <c r="F67" s="18"/>
      <c r="G67" s="18"/>
      <c r="H67" s="18"/>
      <c r="I67" s="18"/>
      <c r="J67" s="18"/>
    </row>
    <row r="68" spans="2:10" ht="15">
      <c r="B68" s="18"/>
      <c r="C68" s="18"/>
      <c r="D68" s="18"/>
      <c r="E68" s="18"/>
      <c r="F68" s="18"/>
      <c r="G68" s="18"/>
      <c r="H68" s="18"/>
      <c r="I68" s="18"/>
      <c r="J68" s="18"/>
    </row>
    <row r="69" spans="2:10" ht="15">
      <c r="B69" s="18"/>
      <c r="C69" s="18"/>
      <c r="D69" s="18"/>
      <c r="E69" s="18"/>
      <c r="F69" s="18"/>
      <c r="G69" s="18"/>
      <c r="H69" s="18"/>
      <c r="I69" s="18"/>
      <c r="J69" s="18"/>
    </row>
    <row r="70" spans="2:10" ht="15">
      <c r="B70" s="18"/>
      <c r="C70" s="18"/>
      <c r="D70" s="18"/>
      <c r="E70" s="18"/>
      <c r="F70" s="18"/>
      <c r="G70" s="18"/>
      <c r="H70" s="18"/>
      <c r="I70" s="18"/>
      <c r="J70" s="18"/>
    </row>
    <row r="71" spans="2:10" ht="15">
      <c r="B71" s="18"/>
      <c r="C71" s="18"/>
      <c r="D71" s="18"/>
      <c r="E71" s="18"/>
      <c r="F71" s="18"/>
      <c r="G71" s="18"/>
      <c r="H71" s="18"/>
      <c r="I71" s="18"/>
      <c r="J71" s="18"/>
    </row>
    <row r="72" spans="2:10" ht="15">
      <c r="B72" s="18"/>
      <c r="C72" s="18"/>
      <c r="D72" s="18"/>
      <c r="E72" s="18"/>
      <c r="F72" s="18"/>
      <c r="G72" s="18"/>
      <c r="H72" s="18"/>
      <c r="I72" s="18"/>
      <c r="J72" s="18"/>
    </row>
    <row r="73" spans="2:10" ht="15">
      <c r="B73" s="18"/>
      <c r="C73" s="18"/>
      <c r="D73" s="18"/>
      <c r="E73" s="18"/>
      <c r="F73" s="18"/>
      <c r="G73" s="18"/>
      <c r="H73" s="18"/>
      <c r="I73" s="18"/>
      <c r="J73" s="18"/>
    </row>
    <row r="74" spans="2:10" ht="15">
      <c r="B74" s="18"/>
      <c r="C74" s="18"/>
      <c r="D74" s="18"/>
      <c r="E74" s="18"/>
      <c r="F74" s="18"/>
      <c r="G74" s="18"/>
      <c r="H74" s="18"/>
      <c r="I74" s="18"/>
      <c r="J74" s="18"/>
    </row>
    <row r="75" spans="2:10" ht="15">
      <c r="B75" s="18"/>
      <c r="C75" s="18"/>
      <c r="D75" s="18"/>
      <c r="E75" s="18"/>
      <c r="F75" s="18"/>
      <c r="G75" s="18"/>
      <c r="H75" s="18"/>
      <c r="I75" s="18"/>
      <c r="J75" s="18"/>
    </row>
    <row r="76" spans="2:10" ht="15">
      <c r="B76" s="18"/>
      <c r="C76" s="18"/>
      <c r="D76" s="18"/>
      <c r="E76" s="18"/>
      <c r="F76" s="18"/>
      <c r="G76" s="18"/>
      <c r="H76" s="18"/>
      <c r="I76" s="18"/>
      <c r="J76" s="18"/>
    </row>
    <row r="77" spans="2:10" ht="15">
      <c r="B77" s="18"/>
      <c r="C77" s="18"/>
      <c r="D77" s="18"/>
      <c r="E77" s="18"/>
      <c r="F77" s="18"/>
      <c r="G77" s="18"/>
      <c r="H77" s="18"/>
      <c r="I77" s="18"/>
      <c r="J77" s="18"/>
    </row>
    <row r="78" spans="2:10" ht="15">
      <c r="B78" s="18"/>
      <c r="C78" s="18"/>
      <c r="D78" s="18"/>
      <c r="E78" s="18"/>
      <c r="F78" s="18"/>
      <c r="G78" s="18"/>
      <c r="H78" s="18"/>
      <c r="I78" s="18"/>
      <c r="J78" s="18"/>
    </row>
    <row r="79" spans="2:10" ht="15">
      <c r="B79" s="18"/>
      <c r="C79" s="18"/>
      <c r="D79" s="18"/>
      <c r="E79" s="18"/>
      <c r="F79" s="18"/>
      <c r="G79" s="18"/>
      <c r="H79" s="18"/>
      <c r="I79" s="18"/>
      <c r="J79" s="18"/>
    </row>
    <row r="80" spans="2:10" ht="15">
      <c r="B80" s="18"/>
      <c r="C80" s="18"/>
      <c r="D80" s="18"/>
      <c r="E80" s="18"/>
      <c r="F80" s="18"/>
      <c r="G80" s="18"/>
      <c r="H80" s="18"/>
      <c r="I80" s="18"/>
      <c r="J80" s="18"/>
    </row>
    <row r="81" spans="2:10" ht="15">
      <c r="B81" s="18"/>
      <c r="C81" s="18"/>
      <c r="D81" s="18"/>
      <c r="E81" s="18"/>
      <c r="F81" s="18"/>
      <c r="G81" s="18"/>
      <c r="H81" s="18"/>
      <c r="I81" s="18"/>
      <c r="J81" s="18"/>
    </row>
    <row r="82" spans="2:10" ht="15">
      <c r="B82" s="18"/>
      <c r="C82" s="18"/>
      <c r="D82" s="18"/>
      <c r="E82" s="18"/>
      <c r="F82" s="18"/>
      <c r="G82" s="18"/>
      <c r="H82" s="18"/>
      <c r="I82" s="18"/>
      <c r="J82" s="18"/>
    </row>
    <row r="83" spans="2:10" ht="15">
      <c r="B83" s="18"/>
      <c r="C83" s="18"/>
      <c r="D83" s="18"/>
      <c r="E83" s="18"/>
      <c r="F83" s="18"/>
      <c r="G83" s="18"/>
      <c r="H83" s="18"/>
      <c r="I83" s="18"/>
      <c r="J83" s="18"/>
    </row>
  </sheetData>
  <mergeCells count="4">
    <mergeCell ref="B2:J2"/>
    <mergeCell ref="B3:E3"/>
    <mergeCell ref="F3:J3"/>
    <mergeCell ref="F6:J34"/>
  </mergeCells>
  <pageMargins left="0.7" right="0.7" top="0.75" bottom="0.75" header="0.3" footer="0.3"/>
  <pageSetup orientation="portrait" horizontalDpi="300" verticalDpi="300" r:id="rId1"/>
  <customProperties>
    <customPr name="EpmWorksheetKeyString_GUID" r:id="rId2"/>
  </customPropertie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63"/>
  <sheetViews>
    <sheetView zoomScale="85" zoomScaleNormal="85" workbookViewId="0">
      <selection activeCell="K63" sqref="A1:K63"/>
    </sheetView>
  </sheetViews>
  <sheetFormatPr defaultColWidth="9.140625" defaultRowHeight="14.25"/>
  <cols>
    <col min="1" max="1" width="0.7109375" style="6" customWidth="1"/>
    <col min="2" max="2" width="5.5703125" style="6" customWidth="1"/>
    <col min="3" max="4" width="29.42578125" style="6" customWidth="1"/>
    <col min="5" max="5" width="5.5703125" style="6" customWidth="1"/>
    <col min="6" max="7" width="29.42578125" style="6" customWidth="1"/>
    <col min="8" max="8" width="5.5703125" style="6" customWidth="1"/>
    <col min="9" max="10" width="29.42578125" style="6" customWidth="1"/>
    <col min="11" max="11" width="0.5703125" style="6" customWidth="1"/>
    <col min="12" max="16384" width="9.140625" style="6"/>
  </cols>
  <sheetData>
    <row r="1" spans="1:11" ht="4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51.75" customHeight="1" thickBot="1">
      <c r="A2" s="5"/>
      <c r="B2" s="846" t="s">
        <v>88</v>
      </c>
      <c r="C2" s="847"/>
      <c r="D2" s="847"/>
      <c r="E2" s="847"/>
      <c r="F2" s="847"/>
      <c r="G2" s="847"/>
      <c r="H2" s="782"/>
      <c r="I2" s="782"/>
      <c r="J2" s="783"/>
      <c r="K2" s="5"/>
    </row>
    <row r="3" spans="1:11" ht="24" customHeight="1" thickBot="1">
      <c r="A3" s="5"/>
      <c r="B3" s="840" t="s">
        <v>2058</v>
      </c>
      <c r="C3" s="841"/>
      <c r="D3" s="841"/>
      <c r="E3" s="841"/>
      <c r="F3" s="841"/>
      <c r="G3" s="842"/>
      <c r="H3" s="848" t="s">
        <v>2057</v>
      </c>
      <c r="I3" s="849"/>
      <c r="J3" s="849"/>
      <c r="K3" s="5"/>
    </row>
    <row r="4" spans="1:11" ht="19.5" customHeight="1">
      <c r="A4" s="5"/>
      <c r="B4" s="452" t="s">
        <v>47</v>
      </c>
      <c r="C4" s="147" t="s">
        <v>90</v>
      </c>
      <c r="D4" s="453" t="s">
        <v>91</v>
      </c>
      <c r="E4" s="147" t="s">
        <v>47</v>
      </c>
      <c r="F4" s="147" t="s">
        <v>90</v>
      </c>
      <c r="G4" s="147" t="s">
        <v>91</v>
      </c>
      <c r="H4" s="22" t="s">
        <v>47</v>
      </c>
      <c r="I4" s="141" t="s">
        <v>90</v>
      </c>
      <c r="J4" s="23" t="s">
        <v>91</v>
      </c>
      <c r="K4" s="5"/>
    </row>
    <row r="5" spans="1:11" ht="18" customHeight="1">
      <c r="A5" s="5"/>
      <c r="B5" s="156" t="s">
        <v>7</v>
      </c>
      <c r="C5" s="128" t="s">
        <v>1969</v>
      </c>
      <c r="D5" s="157" t="s">
        <v>2079</v>
      </c>
      <c r="E5" s="158" t="s">
        <v>7</v>
      </c>
      <c r="F5" s="128" t="s">
        <v>1969</v>
      </c>
      <c r="G5" s="159" t="s">
        <v>438</v>
      </c>
      <c r="H5" s="156" t="s">
        <v>7</v>
      </c>
      <c r="I5" s="128" t="s">
        <v>1969</v>
      </c>
      <c r="J5" s="160" t="s">
        <v>2078</v>
      </c>
      <c r="K5" s="5"/>
    </row>
    <row r="6" spans="1:11" ht="18" customHeight="1">
      <c r="A6" s="5"/>
      <c r="B6" s="129" t="s">
        <v>7</v>
      </c>
      <c r="C6" s="130" t="s">
        <v>104</v>
      </c>
      <c r="D6" s="132" t="s">
        <v>2072</v>
      </c>
      <c r="E6" s="142" t="s">
        <v>7</v>
      </c>
      <c r="F6" s="130" t="s">
        <v>104</v>
      </c>
      <c r="G6" s="131" t="s">
        <v>2073</v>
      </c>
      <c r="H6" s="129" t="s">
        <v>7</v>
      </c>
      <c r="I6" s="130" t="s">
        <v>104</v>
      </c>
      <c r="J6" s="132" t="s">
        <v>2112</v>
      </c>
      <c r="K6" s="5"/>
    </row>
    <row r="7" spans="1:11" ht="18" customHeight="1">
      <c r="A7" s="5"/>
      <c r="B7" s="28" t="s">
        <v>7</v>
      </c>
      <c r="C7" s="29" t="s">
        <v>8</v>
      </c>
      <c r="D7" s="31" t="s">
        <v>2074</v>
      </c>
      <c r="E7" s="38" t="s">
        <v>7</v>
      </c>
      <c r="F7" s="29" t="s">
        <v>8</v>
      </c>
      <c r="G7" s="35" t="s">
        <v>2075</v>
      </c>
      <c r="H7" s="28" t="s">
        <v>7</v>
      </c>
      <c r="I7" s="29" t="s">
        <v>8</v>
      </c>
      <c r="J7" s="31" t="s">
        <v>102</v>
      </c>
      <c r="K7" s="5"/>
    </row>
    <row r="8" spans="1:11" ht="18" customHeight="1">
      <c r="A8" s="5"/>
      <c r="B8" s="129" t="s">
        <v>7</v>
      </c>
      <c r="C8" s="130" t="s">
        <v>11</v>
      </c>
      <c r="D8" s="132" t="s">
        <v>2080</v>
      </c>
      <c r="E8" s="142" t="s">
        <v>7</v>
      </c>
      <c r="F8" s="130" t="s">
        <v>11</v>
      </c>
      <c r="G8" s="131" t="s">
        <v>2081</v>
      </c>
      <c r="H8" s="129" t="s">
        <v>7</v>
      </c>
      <c r="I8" s="130" t="s">
        <v>11</v>
      </c>
      <c r="J8" s="132" t="s">
        <v>2082</v>
      </c>
      <c r="K8" s="5"/>
    </row>
    <row r="9" spans="1:11" ht="18" customHeight="1">
      <c r="A9" s="5"/>
      <c r="B9" s="28" t="s">
        <v>7</v>
      </c>
      <c r="C9" s="29" t="s">
        <v>1968</v>
      </c>
      <c r="D9" s="31" t="s">
        <v>2083</v>
      </c>
      <c r="E9" s="38" t="s">
        <v>7</v>
      </c>
      <c r="F9" s="29" t="s">
        <v>1968</v>
      </c>
      <c r="G9" s="35" t="s">
        <v>2085</v>
      </c>
      <c r="H9" s="28" t="s">
        <v>7</v>
      </c>
      <c r="I9" s="29" t="s">
        <v>1968</v>
      </c>
      <c r="J9" s="31" t="s">
        <v>2084</v>
      </c>
      <c r="K9" s="5"/>
    </row>
    <row r="10" spans="1:11" ht="18" customHeight="1">
      <c r="A10" s="5"/>
      <c r="B10" s="129" t="s">
        <v>7</v>
      </c>
      <c r="C10" s="130" t="s">
        <v>14</v>
      </c>
      <c r="D10" s="132" t="s">
        <v>2069</v>
      </c>
      <c r="E10" s="451" t="s">
        <v>7</v>
      </c>
      <c r="F10" s="130" t="s">
        <v>14</v>
      </c>
      <c r="G10" s="131" t="s">
        <v>2070</v>
      </c>
      <c r="H10" s="129" t="s">
        <v>7</v>
      </c>
      <c r="I10" s="130" t="s">
        <v>14</v>
      </c>
      <c r="J10" s="143" t="s">
        <v>2071</v>
      </c>
      <c r="K10" s="5"/>
    </row>
    <row r="11" spans="1:11" ht="18" customHeight="1">
      <c r="A11" s="5"/>
      <c r="B11" s="126" t="s">
        <v>7</v>
      </c>
      <c r="C11" s="124" t="s">
        <v>10</v>
      </c>
      <c r="D11" s="127" t="s">
        <v>2066</v>
      </c>
      <c r="E11" s="161" t="s">
        <v>7</v>
      </c>
      <c r="F11" s="124" t="s">
        <v>10</v>
      </c>
      <c r="G11" s="125" t="s">
        <v>2067</v>
      </c>
      <c r="H11" s="126" t="s">
        <v>7</v>
      </c>
      <c r="I11" s="124" t="s">
        <v>10</v>
      </c>
      <c r="J11" s="31" t="s">
        <v>2068</v>
      </c>
      <c r="K11" s="5"/>
    </row>
    <row r="12" spans="1:11" ht="18" customHeight="1">
      <c r="A12" s="5"/>
      <c r="B12" s="133" t="s">
        <v>7</v>
      </c>
      <c r="C12" s="134" t="s">
        <v>12</v>
      </c>
      <c r="D12" s="136" t="s">
        <v>2076</v>
      </c>
      <c r="E12" s="144" t="s">
        <v>7</v>
      </c>
      <c r="F12" s="134" t="s">
        <v>12</v>
      </c>
      <c r="G12" s="135" t="s">
        <v>2077</v>
      </c>
      <c r="H12" s="133" t="s">
        <v>7</v>
      </c>
      <c r="I12" s="134" t="s">
        <v>12</v>
      </c>
      <c r="J12" s="136" t="s">
        <v>2111</v>
      </c>
      <c r="K12" s="5"/>
    </row>
    <row r="13" spans="1:11" ht="18" customHeight="1">
      <c r="A13" s="5"/>
      <c r="B13" s="126" t="s">
        <v>7</v>
      </c>
      <c r="C13" s="124" t="s">
        <v>13</v>
      </c>
      <c r="D13" s="127" t="s">
        <v>2063</v>
      </c>
      <c r="E13" s="161" t="s">
        <v>7</v>
      </c>
      <c r="F13" s="124" t="s">
        <v>13</v>
      </c>
      <c r="G13" s="125" t="s">
        <v>2064</v>
      </c>
      <c r="H13" s="126" t="s">
        <v>7</v>
      </c>
      <c r="I13" s="124" t="s">
        <v>13</v>
      </c>
      <c r="J13" s="127" t="s">
        <v>2065</v>
      </c>
      <c r="K13" s="5"/>
    </row>
    <row r="14" spans="1:11" ht="18" customHeight="1" thickBot="1">
      <c r="A14" s="5"/>
      <c r="B14" s="137" t="s">
        <v>7</v>
      </c>
      <c r="C14" s="138" t="s">
        <v>9</v>
      </c>
      <c r="D14" s="140" t="s">
        <v>2086</v>
      </c>
      <c r="E14" s="145" t="s">
        <v>7</v>
      </c>
      <c r="F14" s="138" t="s">
        <v>9</v>
      </c>
      <c r="G14" s="139" t="s">
        <v>2192</v>
      </c>
      <c r="H14" s="137" t="s">
        <v>7</v>
      </c>
      <c r="I14" s="138" t="s">
        <v>9</v>
      </c>
      <c r="J14" s="140" t="s">
        <v>2087</v>
      </c>
      <c r="K14" s="5"/>
    </row>
    <row r="15" spans="1:11" ht="24" customHeight="1" thickBot="1">
      <c r="A15" s="5"/>
      <c r="B15" s="840" t="s">
        <v>89</v>
      </c>
      <c r="C15" s="841"/>
      <c r="D15" s="841"/>
      <c r="E15" s="840" t="s">
        <v>92</v>
      </c>
      <c r="F15" s="841"/>
      <c r="G15" s="841"/>
      <c r="H15" s="840" t="s">
        <v>93</v>
      </c>
      <c r="I15" s="841"/>
      <c r="J15" s="841"/>
      <c r="K15" s="5"/>
    </row>
    <row r="16" spans="1:11" ht="19.5" customHeight="1">
      <c r="A16" s="5"/>
      <c r="B16" s="146" t="s">
        <v>47</v>
      </c>
      <c r="C16" s="147" t="s">
        <v>90</v>
      </c>
      <c r="D16" s="147" t="s">
        <v>91</v>
      </c>
      <c r="E16" s="22" t="s">
        <v>47</v>
      </c>
      <c r="F16" s="141" t="s">
        <v>90</v>
      </c>
      <c r="G16" s="148" t="s">
        <v>91</v>
      </c>
      <c r="H16" s="149" t="s">
        <v>47</v>
      </c>
      <c r="I16" s="150" t="s">
        <v>90</v>
      </c>
      <c r="J16" s="151" t="s">
        <v>91</v>
      </c>
      <c r="K16" s="5"/>
    </row>
    <row r="17" spans="1:11" ht="18" customHeight="1">
      <c r="A17" s="5"/>
      <c r="B17" s="28">
        <v>1</v>
      </c>
      <c r="C17" s="128" t="s">
        <v>9</v>
      </c>
      <c r="D17" s="35" t="s">
        <v>230</v>
      </c>
      <c r="E17" s="28">
        <v>11</v>
      </c>
      <c r="F17" s="128" t="s">
        <v>9</v>
      </c>
      <c r="G17" s="31" t="s">
        <v>2121</v>
      </c>
      <c r="H17" s="28">
        <v>21</v>
      </c>
      <c r="I17" s="29" t="s">
        <v>1969</v>
      </c>
      <c r="J17" s="31" t="s">
        <v>2131</v>
      </c>
      <c r="K17" s="5"/>
    </row>
    <row r="18" spans="1:11" ht="18" customHeight="1">
      <c r="A18" s="5"/>
      <c r="B18" s="129">
        <v>2</v>
      </c>
      <c r="C18" s="130" t="s">
        <v>13</v>
      </c>
      <c r="D18" s="131" t="s">
        <v>2113</v>
      </c>
      <c r="E18" s="129">
        <v>12</v>
      </c>
      <c r="F18" s="130" t="s">
        <v>13</v>
      </c>
      <c r="G18" s="132" t="s">
        <v>2122</v>
      </c>
      <c r="H18" s="129">
        <v>22</v>
      </c>
      <c r="I18" s="130" t="s">
        <v>104</v>
      </c>
      <c r="J18" s="132" t="s">
        <v>2132</v>
      </c>
      <c r="K18" s="5"/>
    </row>
    <row r="19" spans="1:11" ht="18" customHeight="1">
      <c r="A19" s="5"/>
      <c r="B19" s="28">
        <v>3</v>
      </c>
      <c r="C19" s="29" t="s">
        <v>12</v>
      </c>
      <c r="D19" s="35" t="s">
        <v>2114</v>
      </c>
      <c r="E19" s="28">
        <v>13</v>
      </c>
      <c r="F19" s="29" t="s">
        <v>12</v>
      </c>
      <c r="G19" s="31" t="s">
        <v>2123</v>
      </c>
      <c r="H19" s="28">
        <v>23</v>
      </c>
      <c r="I19" s="29" t="s">
        <v>8</v>
      </c>
      <c r="J19" s="31" t="s">
        <v>2133</v>
      </c>
      <c r="K19" s="5"/>
    </row>
    <row r="20" spans="1:11" ht="18" customHeight="1">
      <c r="A20" s="5"/>
      <c r="B20" s="129">
        <v>4</v>
      </c>
      <c r="C20" s="130" t="s">
        <v>10</v>
      </c>
      <c r="D20" s="131" t="s">
        <v>2115</v>
      </c>
      <c r="E20" s="129">
        <v>14</v>
      </c>
      <c r="F20" s="130" t="s">
        <v>10</v>
      </c>
      <c r="G20" s="132" t="s">
        <v>2124</v>
      </c>
      <c r="H20" s="129">
        <v>24</v>
      </c>
      <c r="I20" s="130" t="s">
        <v>11</v>
      </c>
      <c r="J20" s="132" t="s">
        <v>2134</v>
      </c>
      <c r="K20" s="5"/>
    </row>
    <row r="21" spans="1:11" ht="18" customHeight="1">
      <c r="A21" s="5"/>
      <c r="B21" s="28">
        <v>5</v>
      </c>
      <c r="C21" s="29" t="s">
        <v>14</v>
      </c>
      <c r="D21" s="35" t="s">
        <v>2116</v>
      </c>
      <c r="E21" s="28">
        <v>15</v>
      </c>
      <c r="F21" s="29" t="s">
        <v>2059</v>
      </c>
      <c r="G21" s="31" t="s">
        <v>2125</v>
      </c>
      <c r="H21" s="28">
        <v>25</v>
      </c>
      <c r="I21" s="29" t="s">
        <v>1968</v>
      </c>
      <c r="J21" s="31" t="s">
        <v>2135</v>
      </c>
      <c r="K21" s="5"/>
    </row>
    <row r="22" spans="1:11" ht="18" customHeight="1">
      <c r="A22" s="5"/>
      <c r="B22" s="129">
        <v>6</v>
      </c>
      <c r="C22" s="130" t="s">
        <v>1968</v>
      </c>
      <c r="D22" s="131" t="s">
        <v>2117</v>
      </c>
      <c r="E22" s="129">
        <v>16</v>
      </c>
      <c r="F22" s="130" t="s">
        <v>1968</v>
      </c>
      <c r="G22" s="132" t="s">
        <v>2126</v>
      </c>
      <c r="H22" s="129">
        <v>26</v>
      </c>
      <c r="I22" s="130" t="s">
        <v>14</v>
      </c>
      <c r="J22" s="132" t="s">
        <v>2136</v>
      </c>
      <c r="K22" s="5"/>
    </row>
    <row r="23" spans="1:11" ht="18" customHeight="1">
      <c r="A23" s="5"/>
      <c r="B23" s="126">
        <v>7</v>
      </c>
      <c r="C23" s="124" t="s">
        <v>11</v>
      </c>
      <c r="D23" s="125" t="s">
        <v>2118</v>
      </c>
      <c r="E23" s="126">
        <v>17</v>
      </c>
      <c r="F23" s="124" t="s">
        <v>11</v>
      </c>
      <c r="G23" s="127" t="s">
        <v>2127</v>
      </c>
      <c r="H23" s="126">
        <v>27</v>
      </c>
      <c r="I23" s="124" t="s">
        <v>10</v>
      </c>
      <c r="J23" s="127" t="s">
        <v>2137</v>
      </c>
      <c r="K23" s="5"/>
    </row>
    <row r="24" spans="1:11" ht="18" customHeight="1">
      <c r="A24" s="5"/>
      <c r="B24" s="133">
        <v>8</v>
      </c>
      <c r="C24" s="134" t="s">
        <v>8</v>
      </c>
      <c r="D24" s="135" t="s">
        <v>2119</v>
      </c>
      <c r="E24" s="133">
        <v>18</v>
      </c>
      <c r="F24" s="134" t="s">
        <v>8</v>
      </c>
      <c r="G24" s="136" t="s">
        <v>2128</v>
      </c>
      <c r="H24" s="133">
        <v>28</v>
      </c>
      <c r="I24" s="134" t="s">
        <v>12</v>
      </c>
      <c r="J24" s="136" t="s">
        <v>2138</v>
      </c>
      <c r="K24" s="5"/>
    </row>
    <row r="25" spans="1:11" ht="18" customHeight="1">
      <c r="A25" s="5"/>
      <c r="B25" s="126">
        <v>9</v>
      </c>
      <c r="C25" s="124" t="s">
        <v>104</v>
      </c>
      <c r="D25" s="125" t="s">
        <v>2193</v>
      </c>
      <c r="E25" s="126">
        <v>19</v>
      </c>
      <c r="F25" s="124" t="s">
        <v>104</v>
      </c>
      <c r="G25" s="127" t="s">
        <v>2129</v>
      </c>
      <c r="H25" s="126">
        <v>29</v>
      </c>
      <c r="I25" s="124" t="s">
        <v>13</v>
      </c>
      <c r="J25" s="127" t="s">
        <v>2139</v>
      </c>
      <c r="K25" s="5"/>
    </row>
    <row r="26" spans="1:11" ht="18" customHeight="1" thickBot="1">
      <c r="A26" s="5"/>
      <c r="B26" s="137">
        <v>10</v>
      </c>
      <c r="C26" s="138" t="s">
        <v>1969</v>
      </c>
      <c r="D26" s="139" t="s">
        <v>2120</v>
      </c>
      <c r="E26" s="137">
        <v>20</v>
      </c>
      <c r="F26" s="138" t="s">
        <v>1969</v>
      </c>
      <c r="G26" s="140" t="s">
        <v>2130</v>
      </c>
      <c r="H26" s="137">
        <v>30</v>
      </c>
      <c r="I26" s="138" t="s">
        <v>9</v>
      </c>
      <c r="J26" s="140" t="s">
        <v>2194</v>
      </c>
      <c r="K26" s="5"/>
    </row>
    <row r="27" spans="1:11" ht="24" customHeight="1" thickBot="1">
      <c r="A27" s="5"/>
      <c r="B27" s="840" t="s">
        <v>94</v>
      </c>
      <c r="C27" s="841"/>
      <c r="D27" s="841"/>
      <c r="E27" s="840" t="s">
        <v>95</v>
      </c>
      <c r="F27" s="841"/>
      <c r="G27" s="841"/>
      <c r="H27" s="840" t="s">
        <v>96</v>
      </c>
      <c r="I27" s="841"/>
      <c r="J27" s="841"/>
      <c r="K27" s="5"/>
    </row>
    <row r="28" spans="1:11" ht="19.5" customHeight="1">
      <c r="A28" s="5"/>
      <c r="B28" s="152" t="s">
        <v>47</v>
      </c>
      <c r="C28" s="141" t="s">
        <v>90</v>
      </c>
      <c r="D28" s="150" t="s">
        <v>91</v>
      </c>
      <c r="E28" s="149" t="s">
        <v>47</v>
      </c>
      <c r="F28" s="141" t="s">
        <v>90</v>
      </c>
      <c r="G28" s="151" t="s">
        <v>91</v>
      </c>
      <c r="H28" s="152" t="s">
        <v>47</v>
      </c>
      <c r="I28" s="141" t="s">
        <v>90</v>
      </c>
      <c r="J28" s="23" t="s">
        <v>91</v>
      </c>
      <c r="K28" s="5"/>
    </row>
    <row r="29" spans="1:11" ht="18" customHeight="1">
      <c r="A29" s="5"/>
      <c r="B29" s="28">
        <v>31</v>
      </c>
      <c r="C29" s="128" t="s">
        <v>9</v>
      </c>
      <c r="D29" s="35" t="s">
        <v>2140</v>
      </c>
      <c r="E29" s="30">
        <v>41</v>
      </c>
      <c r="F29" s="128" t="s">
        <v>1969</v>
      </c>
      <c r="G29" s="31" t="s">
        <v>2150</v>
      </c>
      <c r="H29" s="28">
        <v>51</v>
      </c>
      <c r="I29" s="128" t="s">
        <v>9</v>
      </c>
      <c r="J29" s="160" t="s">
        <v>2159</v>
      </c>
      <c r="K29" s="5"/>
    </row>
    <row r="30" spans="1:11" ht="18" customHeight="1">
      <c r="A30" s="5"/>
      <c r="B30" s="129">
        <v>32</v>
      </c>
      <c r="C30" s="130" t="s">
        <v>13</v>
      </c>
      <c r="D30" s="131" t="s">
        <v>2141</v>
      </c>
      <c r="E30" s="153">
        <v>42</v>
      </c>
      <c r="F30" s="130" t="s">
        <v>104</v>
      </c>
      <c r="G30" s="132" t="s">
        <v>2151</v>
      </c>
      <c r="H30" s="129">
        <v>52</v>
      </c>
      <c r="I30" s="130" t="s">
        <v>13</v>
      </c>
      <c r="J30" s="132" t="s">
        <v>2160</v>
      </c>
      <c r="K30" s="5"/>
    </row>
    <row r="31" spans="1:11" ht="18" customHeight="1">
      <c r="A31" s="5"/>
      <c r="B31" s="28">
        <v>33</v>
      </c>
      <c r="C31" s="29" t="s">
        <v>12</v>
      </c>
      <c r="D31" s="35" t="s">
        <v>2142</v>
      </c>
      <c r="E31" s="30">
        <v>43</v>
      </c>
      <c r="F31" s="29" t="s">
        <v>8</v>
      </c>
      <c r="G31" s="31" t="s">
        <v>2152</v>
      </c>
      <c r="H31" s="28">
        <v>53</v>
      </c>
      <c r="I31" s="29" t="s">
        <v>12</v>
      </c>
      <c r="J31" s="31" t="s">
        <v>2161</v>
      </c>
      <c r="K31" s="5"/>
    </row>
    <row r="32" spans="1:11" ht="18" customHeight="1">
      <c r="A32" s="5"/>
      <c r="B32" s="129">
        <v>34</v>
      </c>
      <c r="C32" s="130" t="s">
        <v>10</v>
      </c>
      <c r="D32" s="131" t="s">
        <v>2143</v>
      </c>
      <c r="E32" s="153">
        <v>44</v>
      </c>
      <c r="F32" s="130" t="s">
        <v>11</v>
      </c>
      <c r="G32" s="132" t="s">
        <v>2153</v>
      </c>
      <c r="H32" s="129">
        <v>54</v>
      </c>
      <c r="I32" s="130" t="s">
        <v>10</v>
      </c>
      <c r="J32" s="132" t="s">
        <v>2162</v>
      </c>
      <c r="K32" s="5"/>
    </row>
    <row r="33" spans="1:11" ht="18" customHeight="1">
      <c r="A33" s="5"/>
      <c r="B33" s="28">
        <v>35</v>
      </c>
      <c r="C33" s="29" t="s">
        <v>14</v>
      </c>
      <c r="D33" s="35" t="s">
        <v>2144</v>
      </c>
      <c r="E33" s="30">
        <v>45</v>
      </c>
      <c r="F33" s="29" t="s">
        <v>1968</v>
      </c>
      <c r="G33" s="31" t="s">
        <v>2154</v>
      </c>
      <c r="H33" s="28">
        <v>55</v>
      </c>
      <c r="I33" s="29" t="s">
        <v>14</v>
      </c>
      <c r="J33" s="31" t="s">
        <v>2163</v>
      </c>
      <c r="K33" s="5"/>
    </row>
    <row r="34" spans="1:11" ht="18" customHeight="1">
      <c r="A34" s="5"/>
      <c r="B34" s="129">
        <v>36</v>
      </c>
      <c r="C34" s="130" t="s">
        <v>1968</v>
      </c>
      <c r="D34" s="131" t="s">
        <v>2145</v>
      </c>
      <c r="E34" s="153">
        <v>46</v>
      </c>
      <c r="F34" s="130" t="s">
        <v>14</v>
      </c>
      <c r="G34" s="132" t="s">
        <v>2155</v>
      </c>
      <c r="H34" s="129">
        <v>56</v>
      </c>
      <c r="I34" s="130" t="s">
        <v>1968</v>
      </c>
      <c r="J34" s="143" t="s">
        <v>2164</v>
      </c>
      <c r="K34" s="5"/>
    </row>
    <row r="35" spans="1:11" ht="18" customHeight="1">
      <c r="A35" s="5"/>
      <c r="B35" s="126">
        <v>37</v>
      </c>
      <c r="C35" s="124" t="s">
        <v>11</v>
      </c>
      <c r="D35" s="125" t="s">
        <v>2146</v>
      </c>
      <c r="E35" s="123">
        <v>47</v>
      </c>
      <c r="F35" s="124" t="s">
        <v>10</v>
      </c>
      <c r="G35" s="127" t="s">
        <v>2156</v>
      </c>
      <c r="H35" s="126">
        <v>57</v>
      </c>
      <c r="I35" s="124" t="s">
        <v>11</v>
      </c>
      <c r="J35" s="31" t="s">
        <v>2165</v>
      </c>
      <c r="K35" s="5"/>
    </row>
    <row r="36" spans="1:11" ht="18" customHeight="1">
      <c r="A36" s="5"/>
      <c r="B36" s="133">
        <v>38</v>
      </c>
      <c r="C36" s="134" t="s">
        <v>8</v>
      </c>
      <c r="D36" s="135" t="s">
        <v>2147</v>
      </c>
      <c r="E36" s="154">
        <v>48</v>
      </c>
      <c r="F36" s="134" t="s">
        <v>12</v>
      </c>
      <c r="G36" s="136" t="s">
        <v>2199</v>
      </c>
      <c r="H36" s="133">
        <v>58</v>
      </c>
      <c r="I36" s="134" t="s">
        <v>8</v>
      </c>
      <c r="J36" s="136" t="s">
        <v>2166</v>
      </c>
      <c r="K36" s="5"/>
    </row>
    <row r="37" spans="1:11" ht="18" customHeight="1">
      <c r="A37" s="5"/>
      <c r="B37" s="126">
        <v>39</v>
      </c>
      <c r="C37" s="124" t="s">
        <v>104</v>
      </c>
      <c r="D37" s="125" t="s">
        <v>2148</v>
      </c>
      <c r="E37" s="123">
        <v>49</v>
      </c>
      <c r="F37" s="124" t="s">
        <v>13</v>
      </c>
      <c r="G37" s="127" t="s">
        <v>2157</v>
      </c>
      <c r="H37" s="126">
        <v>59</v>
      </c>
      <c r="I37" s="124" t="s">
        <v>104</v>
      </c>
      <c r="J37" s="127" t="s">
        <v>2167</v>
      </c>
      <c r="K37" s="5"/>
    </row>
    <row r="38" spans="1:11" ht="18" customHeight="1" thickBot="1">
      <c r="A38" s="5"/>
      <c r="B38" s="137">
        <v>40</v>
      </c>
      <c r="C38" s="138" t="s">
        <v>1969</v>
      </c>
      <c r="D38" s="139" t="s">
        <v>2149</v>
      </c>
      <c r="E38" s="155">
        <v>50</v>
      </c>
      <c r="F38" s="138" t="s">
        <v>9</v>
      </c>
      <c r="G38" s="140" t="s">
        <v>2158</v>
      </c>
      <c r="H38" s="137">
        <v>60</v>
      </c>
      <c r="I38" s="138" t="s">
        <v>1969</v>
      </c>
      <c r="J38" s="140" t="s">
        <v>2168</v>
      </c>
      <c r="K38" s="5"/>
    </row>
    <row r="39" spans="1:11" ht="24" thickBot="1">
      <c r="A39" s="5"/>
      <c r="B39" s="840" t="s">
        <v>97</v>
      </c>
      <c r="C39" s="841"/>
      <c r="D39" s="841"/>
      <c r="E39" s="840" t="s">
        <v>98</v>
      </c>
      <c r="F39" s="841"/>
      <c r="G39" s="841"/>
      <c r="H39" s="848" t="s">
        <v>1979</v>
      </c>
      <c r="I39" s="849"/>
      <c r="J39" s="849"/>
      <c r="K39" s="5"/>
    </row>
    <row r="40" spans="1:11" ht="20.25">
      <c r="A40" s="5"/>
      <c r="B40" s="22" t="s">
        <v>47</v>
      </c>
      <c r="C40" s="141" t="s">
        <v>90</v>
      </c>
      <c r="D40" s="151" t="s">
        <v>91</v>
      </c>
      <c r="E40" s="22" t="s">
        <v>47</v>
      </c>
      <c r="F40" s="141" t="s">
        <v>90</v>
      </c>
      <c r="G40" s="148" t="s">
        <v>91</v>
      </c>
      <c r="H40" s="22" t="s">
        <v>47</v>
      </c>
      <c r="I40" s="141" t="s">
        <v>90</v>
      </c>
      <c r="J40" s="148" t="s">
        <v>91</v>
      </c>
      <c r="K40" s="5"/>
    </row>
    <row r="41" spans="1:11" ht="18">
      <c r="A41" s="5"/>
      <c r="B41" s="162">
        <v>61</v>
      </c>
      <c r="C41" s="128" t="s">
        <v>1969</v>
      </c>
      <c r="D41" s="31" t="s">
        <v>2169</v>
      </c>
      <c r="E41" s="28">
        <v>71</v>
      </c>
      <c r="F41" s="128" t="s">
        <v>9</v>
      </c>
      <c r="G41" s="31" t="s">
        <v>2179</v>
      </c>
      <c r="H41" s="28">
        <v>81</v>
      </c>
      <c r="I41" s="128" t="s">
        <v>2061</v>
      </c>
      <c r="J41" s="31" t="s">
        <v>103</v>
      </c>
      <c r="K41" s="5"/>
    </row>
    <row r="42" spans="1:11" ht="18">
      <c r="A42" s="5"/>
      <c r="B42" s="153">
        <v>62</v>
      </c>
      <c r="C42" s="130" t="s">
        <v>104</v>
      </c>
      <c r="D42" s="132" t="s">
        <v>2170</v>
      </c>
      <c r="E42" s="129">
        <v>72</v>
      </c>
      <c r="F42" s="130" t="s">
        <v>13</v>
      </c>
      <c r="G42" s="132" t="s">
        <v>2180</v>
      </c>
      <c r="H42" s="129">
        <v>82</v>
      </c>
      <c r="I42" s="130" t="s">
        <v>13</v>
      </c>
      <c r="J42" s="132" t="s">
        <v>2102</v>
      </c>
      <c r="K42" s="5"/>
    </row>
    <row r="43" spans="1:11" ht="18">
      <c r="A43" s="5"/>
      <c r="B43" s="30">
        <v>63</v>
      </c>
      <c r="C43" s="29" t="s">
        <v>8</v>
      </c>
      <c r="D43" s="31" t="s">
        <v>2171</v>
      </c>
      <c r="E43" s="28">
        <v>73</v>
      </c>
      <c r="F43" s="29" t="s">
        <v>12</v>
      </c>
      <c r="G43" s="31" t="s">
        <v>2191</v>
      </c>
      <c r="H43" s="28">
        <v>83</v>
      </c>
      <c r="I43" s="29" t="s">
        <v>12</v>
      </c>
      <c r="J43" s="31" t="s">
        <v>2103</v>
      </c>
      <c r="K43" s="5"/>
    </row>
    <row r="44" spans="1:11" ht="18">
      <c r="A44" s="5"/>
      <c r="B44" s="153">
        <v>64</v>
      </c>
      <c r="C44" s="130" t="s">
        <v>11</v>
      </c>
      <c r="D44" s="132" t="s">
        <v>2172</v>
      </c>
      <c r="E44" s="129">
        <v>74</v>
      </c>
      <c r="F44" s="130" t="s">
        <v>10</v>
      </c>
      <c r="G44" s="132" t="s">
        <v>2181</v>
      </c>
      <c r="H44" s="129">
        <v>84</v>
      </c>
      <c r="I44" s="130" t="s">
        <v>10</v>
      </c>
      <c r="J44" s="132" t="s">
        <v>2104</v>
      </c>
      <c r="K44" s="5"/>
    </row>
    <row r="45" spans="1:11" ht="18">
      <c r="A45" s="5"/>
      <c r="B45" s="30">
        <v>65</v>
      </c>
      <c r="C45" s="29" t="s">
        <v>1968</v>
      </c>
      <c r="D45" s="31" t="s">
        <v>2173</v>
      </c>
      <c r="E45" s="28">
        <v>75</v>
      </c>
      <c r="F45" s="29" t="s">
        <v>14</v>
      </c>
      <c r="G45" s="31" t="s">
        <v>2182</v>
      </c>
      <c r="H45" s="28">
        <v>85</v>
      </c>
      <c r="I45" s="29" t="s">
        <v>14</v>
      </c>
      <c r="J45" s="31" t="s">
        <v>2105</v>
      </c>
      <c r="K45" s="5"/>
    </row>
    <row r="46" spans="1:11" ht="18">
      <c r="A46" s="5"/>
      <c r="B46" s="153">
        <v>66</v>
      </c>
      <c r="C46" s="130" t="s">
        <v>14</v>
      </c>
      <c r="D46" s="132" t="s">
        <v>2174</v>
      </c>
      <c r="E46" s="129">
        <v>76</v>
      </c>
      <c r="F46" s="130" t="s">
        <v>1968</v>
      </c>
      <c r="G46" s="132" t="s">
        <v>2183</v>
      </c>
      <c r="H46" s="129">
        <v>86</v>
      </c>
      <c r="I46" s="130" t="s">
        <v>1968</v>
      </c>
      <c r="J46" s="132" t="s">
        <v>2106</v>
      </c>
      <c r="K46" s="5"/>
    </row>
    <row r="47" spans="1:11" ht="18">
      <c r="A47" s="5"/>
      <c r="B47" s="123">
        <v>67</v>
      </c>
      <c r="C47" s="124" t="s">
        <v>10</v>
      </c>
      <c r="D47" s="127" t="s">
        <v>2175</v>
      </c>
      <c r="E47" s="126">
        <v>77</v>
      </c>
      <c r="F47" s="124" t="s">
        <v>11</v>
      </c>
      <c r="G47" s="127" t="s">
        <v>2184</v>
      </c>
      <c r="H47" s="126">
        <v>87</v>
      </c>
      <c r="I47" s="124" t="s">
        <v>11</v>
      </c>
      <c r="J47" s="127" t="s">
        <v>2107</v>
      </c>
      <c r="K47" s="5"/>
    </row>
    <row r="48" spans="1:11" ht="18">
      <c r="A48" s="5"/>
      <c r="B48" s="154">
        <v>68</v>
      </c>
      <c r="C48" s="134" t="s">
        <v>12</v>
      </c>
      <c r="D48" s="136" t="s">
        <v>2176</v>
      </c>
      <c r="E48" s="133">
        <v>78</v>
      </c>
      <c r="F48" s="134" t="s">
        <v>8</v>
      </c>
      <c r="G48" s="136" t="s">
        <v>2185</v>
      </c>
      <c r="H48" s="133">
        <v>88</v>
      </c>
      <c r="I48" s="134" t="s">
        <v>8</v>
      </c>
      <c r="J48" s="136" t="s">
        <v>2108</v>
      </c>
      <c r="K48" s="5"/>
    </row>
    <row r="49" spans="1:11" ht="18">
      <c r="A49" s="5"/>
      <c r="B49" s="123">
        <v>69</v>
      </c>
      <c r="C49" s="124" t="s">
        <v>13</v>
      </c>
      <c r="D49" s="127" t="s">
        <v>2177</v>
      </c>
      <c r="E49" s="126">
        <v>79</v>
      </c>
      <c r="F49" s="124" t="s">
        <v>2060</v>
      </c>
      <c r="G49" s="127" t="s">
        <v>2186</v>
      </c>
      <c r="H49" s="126">
        <v>89</v>
      </c>
      <c r="I49" s="124" t="s">
        <v>104</v>
      </c>
      <c r="J49" s="127" t="s">
        <v>2109</v>
      </c>
      <c r="K49" s="5"/>
    </row>
    <row r="50" spans="1:11" ht="18.75" thickBot="1">
      <c r="A50" s="5"/>
      <c r="B50" s="155">
        <v>70</v>
      </c>
      <c r="C50" s="138" t="s">
        <v>9</v>
      </c>
      <c r="D50" s="136" t="s">
        <v>2178</v>
      </c>
      <c r="E50" s="133">
        <v>80</v>
      </c>
      <c r="F50" s="138" t="s">
        <v>1969</v>
      </c>
      <c r="G50" s="140" t="s">
        <v>2187</v>
      </c>
      <c r="H50" s="137">
        <v>90</v>
      </c>
      <c r="I50" s="138" t="s">
        <v>2062</v>
      </c>
      <c r="J50" s="140" t="s">
        <v>2110</v>
      </c>
      <c r="K50" s="5"/>
    </row>
    <row r="51" spans="1:11" ht="28.5" thickBot="1">
      <c r="A51" s="5"/>
      <c r="B51" s="843" t="s">
        <v>116</v>
      </c>
      <c r="C51" s="844"/>
      <c r="D51" s="844"/>
      <c r="E51" s="844"/>
      <c r="F51" s="844"/>
      <c r="G51" s="844"/>
      <c r="H51" s="844"/>
      <c r="I51" s="844"/>
      <c r="J51" s="845"/>
      <c r="K51" s="5"/>
    </row>
    <row r="52" spans="1:11" ht="20.25">
      <c r="A52" s="5"/>
      <c r="B52" s="39" t="s">
        <v>47</v>
      </c>
      <c r="C52" s="36" t="s">
        <v>90</v>
      </c>
      <c r="D52" s="36" t="s">
        <v>91</v>
      </c>
      <c r="E52" s="33" t="s">
        <v>47</v>
      </c>
      <c r="F52" s="32" t="s">
        <v>90</v>
      </c>
      <c r="G52" s="34" t="s">
        <v>91</v>
      </c>
      <c r="H52" s="33" t="s">
        <v>47</v>
      </c>
      <c r="I52" s="32" t="s">
        <v>90</v>
      </c>
      <c r="J52" s="34" t="s">
        <v>91</v>
      </c>
      <c r="K52" s="5"/>
    </row>
    <row r="53" spans="1:11" ht="18">
      <c r="A53" s="5"/>
      <c r="B53" s="28">
        <v>1</v>
      </c>
      <c r="C53" s="29" t="s">
        <v>2061</v>
      </c>
      <c r="D53" s="35" t="s">
        <v>2003</v>
      </c>
      <c r="E53" s="28">
        <v>11</v>
      </c>
      <c r="F53" s="128" t="s">
        <v>1969</v>
      </c>
      <c r="G53" s="31" t="s">
        <v>2004</v>
      </c>
      <c r="H53" s="28">
        <v>21</v>
      </c>
      <c r="I53" s="128" t="s">
        <v>9</v>
      </c>
      <c r="J53" s="31" t="s">
        <v>2096</v>
      </c>
      <c r="K53" s="5"/>
    </row>
    <row r="54" spans="1:11" ht="18">
      <c r="A54" s="5"/>
      <c r="B54" s="129">
        <v>2</v>
      </c>
      <c r="C54" s="130" t="s">
        <v>13</v>
      </c>
      <c r="D54" s="131" t="s">
        <v>2002</v>
      </c>
      <c r="E54" s="129">
        <v>12</v>
      </c>
      <c r="F54" s="130" t="s">
        <v>104</v>
      </c>
      <c r="G54" s="132" t="s">
        <v>2091</v>
      </c>
      <c r="H54" s="129">
        <v>22</v>
      </c>
      <c r="I54" s="130" t="s">
        <v>13</v>
      </c>
      <c r="J54" s="132" t="s">
        <v>2007</v>
      </c>
      <c r="K54" s="5"/>
    </row>
    <row r="55" spans="1:11" ht="18">
      <c r="A55" s="5"/>
      <c r="B55" s="28">
        <v>3</v>
      </c>
      <c r="C55" s="29" t="s">
        <v>12</v>
      </c>
      <c r="D55" s="35" t="s">
        <v>2008</v>
      </c>
      <c r="E55" s="28">
        <v>13</v>
      </c>
      <c r="F55" s="29" t="s">
        <v>8</v>
      </c>
      <c r="G55" s="31" t="s">
        <v>2092</v>
      </c>
      <c r="H55" s="28">
        <v>23</v>
      </c>
      <c r="I55" s="29" t="s">
        <v>12</v>
      </c>
      <c r="J55" s="31" t="s">
        <v>2097</v>
      </c>
      <c r="K55" s="5"/>
    </row>
    <row r="56" spans="1:11" ht="18">
      <c r="A56" s="5"/>
      <c r="B56" s="129">
        <v>4</v>
      </c>
      <c r="C56" s="130" t="s">
        <v>10</v>
      </c>
      <c r="D56" s="131" t="s">
        <v>2005</v>
      </c>
      <c r="E56" s="129">
        <v>14</v>
      </c>
      <c r="F56" s="130" t="s">
        <v>11</v>
      </c>
      <c r="G56" s="132" t="s">
        <v>2013</v>
      </c>
      <c r="H56" s="129">
        <v>24</v>
      </c>
      <c r="I56" s="130" t="s">
        <v>10</v>
      </c>
      <c r="J56" s="132" t="s">
        <v>2098</v>
      </c>
      <c r="K56" s="5"/>
    </row>
    <row r="57" spans="1:11" ht="18">
      <c r="A57" s="5"/>
      <c r="B57" s="28">
        <v>5</v>
      </c>
      <c r="C57" s="29" t="s">
        <v>14</v>
      </c>
      <c r="D57" s="35" t="s">
        <v>1998</v>
      </c>
      <c r="E57" s="28">
        <v>15</v>
      </c>
      <c r="F57" s="29" t="s">
        <v>1968</v>
      </c>
      <c r="G57" s="31" t="s">
        <v>2093</v>
      </c>
      <c r="H57" s="28">
        <v>25</v>
      </c>
      <c r="I57" s="29" t="s">
        <v>14</v>
      </c>
      <c r="J57" s="31" t="s">
        <v>2099</v>
      </c>
      <c r="K57" s="5"/>
    </row>
    <row r="58" spans="1:11" ht="18">
      <c r="A58" s="5"/>
      <c r="B58" s="129">
        <v>6</v>
      </c>
      <c r="C58" s="130" t="s">
        <v>1968</v>
      </c>
      <c r="D58" s="131" t="s">
        <v>1999</v>
      </c>
      <c r="E58" s="129">
        <v>16</v>
      </c>
      <c r="F58" s="130" t="s">
        <v>14</v>
      </c>
      <c r="G58" s="132" t="s">
        <v>2000</v>
      </c>
      <c r="H58" s="129">
        <v>26</v>
      </c>
      <c r="I58" s="130" t="s">
        <v>1968</v>
      </c>
      <c r="J58" s="132" t="s">
        <v>2100</v>
      </c>
      <c r="K58" s="5"/>
    </row>
    <row r="59" spans="1:11" ht="18">
      <c r="A59" s="5"/>
      <c r="B59" s="126">
        <v>7</v>
      </c>
      <c r="C59" s="124" t="s">
        <v>11</v>
      </c>
      <c r="D59" s="125" t="s">
        <v>2006</v>
      </c>
      <c r="E59" s="126">
        <v>17</v>
      </c>
      <c r="F59" s="124" t="s">
        <v>10</v>
      </c>
      <c r="G59" s="127" t="s">
        <v>2094</v>
      </c>
      <c r="H59" s="126">
        <v>27</v>
      </c>
      <c r="I59" s="124" t="s">
        <v>11</v>
      </c>
      <c r="J59" s="127" t="s">
        <v>2012</v>
      </c>
      <c r="K59" s="5"/>
    </row>
    <row r="60" spans="1:11" ht="18">
      <c r="A60" s="5"/>
      <c r="B60" s="133">
        <v>8</v>
      </c>
      <c r="C60" s="134" t="s">
        <v>8</v>
      </c>
      <c r="D60" s="135" t="s">
        <v>2088</v>
      </c>
      <c r="E60" s="133">
        <v>18</v>
      </c>
      <c r="F60" s="134" t="s">
        <v>12</v>
      </c>
      <c r="G60" s="136" t="s">
        <v>2095</v>
      </c>
      <c r="H60" s="133">
        <v>28</v>
      </c>
      <c r="I60" s="134" t="s">
        <v>8</v>
      </c>
      <c r="J60" s="136" t="s">
        <v>2009</v>
      </c>
      <c r="K60" s="5"/>
    </row>
    <row r="61" spans="1:11" ht="18">
      <c r="A61" s="5"/>
      <c r="B61" s="126">
        <v>9</v>
      </c>
      <c r="C61" s="124" t="s">
        <v>104</v>
      </c>
      <c r="D61" s="125" t="s">
        <v>2089</v>
      </c>
      <c r="E61" s="126">
        <v>19</v>
      </c>
      <c r="F61" s="124" t="s">
        <v>13</v>
      </c>
      <c r="G61" s="127" t="s">
        <v>2001</v>
      </c>
      <c r="H61" s="126">
        <v>29</v>
      </c>
      <c r="I61" s="124" t="s">
        <v>104</v>
      </c>
      <c r="J61" s="127" t="s">
        <v>2101</v>
      </c>
      <c r="K61" s="5"/>
    </row>
    <row r="62" spans="1:11" ht="18.75" thickBot="1">
      <c r="A62" s="5"/>
      <c r="B62" s="137">
        <v>10</v>
      </c>
      <c r="C62" s="138" t="s">
        <v>2062</v>
      </c>
      <c r="D62" s="139" t="s">
        <v>2090</v>
      </c>
      <c r="E62" s="137">
        <v>20</v>
      </c>
      <c r="F62" s="138" t="s">
        <v>9</v>
      </c>
      <c r="G62" s="140" t="s">
        <v>2010</v>
      </c>
      <c r="H62" s="137">
        <v>30</v>
      </c>
      <c r="I62" s="138" t="s">
        <v>1969</v>
      </c>
      <c r="J62" s="140" t="s">
        <v>2011</v>
      </c>
      <c r="K62" s="5"/>
    </row>
    <row r="63" spans="1:11" ht="3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</row>
  </sheetData>
  <mergeCells count="13">
    <mergeCell ref="B3:G3"/>
    <mergeCell ref="B51:J51"/>
    <mergeCell ref="B39:D39"/>
    <mergeCell ref="B2:J2"/>
    <mergeCell ref="B15:D15"/>
    <mergeCell ref="E15:G15"/>
    <mergeCell ref="H15:J15"/>
    <mergeCell ref="H3:J3"/>
    <mergeCell ref="B27:D27"/>
    <mergeCell ref="E27:G27"/>
    <mergeCell ref="H27:J27"/>
    <mergeCell ref="E39:G39"/>
    <mergeCell ref="H39:J39"/>
  </mergeCells>
  <pageMargins left="0.7" right="0.7" top="0.75" bottom="0.75" header="0.3" footer="0.3"/>
  <pageSetup orientation="portrait" horizontalDpi="300" verticalDpi="300" r:id="rId1"/>
  <customProperties>
    <customPr name="EpmWorksheetKeyString_GUID" r:id="rId2"/>
  </customPropertie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V2833"/>
  <sheetViews>
    <sheetView topLeftCell="A112" zoomScaleNormal="100" workbookViewId="0">
      <selection activeCell="T138" sqref="T138:T149"/>
    </sheetView>
  </sheetViews>
  <sheetFormatPr defaultRowHeight="15"/>
  <cols>
    <col min="1" max="1" width="15.5703125" style="1" customWidth="1"/>
    <col min="2" max="2" width="24.42578125" customWidth="1"/>
    <col min="3" max="3" width="8.42578125" customWidth="1"/>
    <col min="4" max="7" width="3.140625" customWidth="1"/>
    <col min="8" max="8" width="4.42578125" customWidth="1"/>
    <col min="9" max="9" width="10.85546875" bestFit="1" customWidth="1"/>
    <col min="10" max="10" width="10" bestFit="1" customWidth="1"/>
    <col min="19" max="19" width="19.140625" customWidth="1"/>
    <col min="20" max="20" width="6.7109375" customWidth="1"/>
    <col min="22" max="22" width="16.140625" customWidth="1"/>
    <col min="23" max="23" width="5.7109375" customWidth="1"/>
    <col min="24" max="24" width="7.28515625" customWidth="1"/>
    <col min="25" max="25" width="9.7109375" style="407" customWidth="1"/>
    <col min="26" max="39" width="9.140625" style="407"/>
    <col min="46" max="46" width="26.28515625" customWidth="1"/>
    <col min="47" max="47" width="11" style="93" customWidth="1"/>
    <col min="48" max="48" width="11" customWidth="1"/>
  </cols>
  <sheetData>
    <row r="1" spans="1:48">
      <c r="A1" s="305"/>
      <c r="B1" s="306"/>
      <c r="C1" s="306"/>
      <c r="D1" s="306"/>
      <c r="E1" s="306"/>
      <c r="F1" s="306"/>
      <c r="G1" s="306"/>
      <c r="H1" s="306"/>
      <c r="I1" s="307"/>
      <c r="J1" s="306"/>
      <c r="K1" s="306"/>
      <c r="L1" s="306"/>
      <c r="M1" s="306"/>
      <c r="N1" s="306"/>
      <c r="O1" s="306"/>
      <c r="P1" s="306"/>
      <c r="Q1" s="306"/>
      <c r="R1" s="306"/>
      <c r="AT1" t="s">
        <v>1960</v>
      </c>
      <c r="AU1" s="93" t="s">
        <v>1961</v>
      </c>
      <c r="AV1" t="s">
        <v>1962</v>
      </c>
    </row>
    <row r="2" spans="1:48">
      <c r="A2" s="306"/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t="s">
        <v>43</v>
      </c>
      <c r="T2">
        <v>14</v>
      </c>
      <c r="V2" t="s">
        <v>2014</v>
      </c>
      <c r="AT2" t="s">
        <v>103</v>
      </c>
      <c r="AU2" s="93">
        <v>1</v>
      </c>
      <c r="AV2" t="s">
        <v>111</v>
      </c>
    </row>
    <row r="3" spans="1:48">
      <c r="A3" s="306"/>
      <c r="B3" s="306"/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>
        <v>1</v>
      </c>
      <c r="T3">
        <v>12</v>
      </c>
      <c r="AT3" t="s">
        <v>102</v>
      </c>
      <c r="AU3" s="93">
        <v>2</v>
      </c>
      <c r="AV3" t="s">
        <v>113</v>
      </c>
    </row>
    <row r="4" spans="1:48">
      <c r="A4" s="306"/>
      <c r="B4" s="306"/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6"/>
      <c r="N4" s="306"/>
      <c r="O4" s="306"/>
      <c r="P4" s="306"/>
      <c r="Q4" s="306"/>
      <c r="R4" s="306"/>
      <c r="S4">
        <v>2</v>
      </c>
      <c r="T4">
        <v>13</v>
      </c>
      <c r="AU4" s="93">
        <v>3</v>
      </c>
      <c r="AV4" t="s">
        <v>111</v>
      </c>
    </row>
    <row r="5" spans="1:48">
      <c r="A5" s="306"/>
      <c r="B5" s="306"/>
      <c r="C5" s="306"/>
      <c r="D5" s="306"/>
      <c r="E5" s="306"/>
      <c r="F5" s="306"/>
      <c r="G5" s="306"/>
      <c r="H5" s="306"/>
      <c r="I5" s="306"/>
      <c r="J5" s="306"/>
      <c r="K5" s="306"/>
      <c r="L5" s="306"/>
      <c r="M5" s="306"/>
      <c r="N5" s="306"/>
      <c r="O5" s="306"/>
      <c r="P5" s="306"/>
      <c r="Q5" s="306"/>
      <c r="R5" s="306"/>
      <c r="S5">
        <v>3</v>
      </c>
      <c r="T5">
        <v>14</v>
      </c>
      <c r="AU5" s="93">
        <v>4</v>
      </c>
      <c r="AV5" t="s">
        <v>111</v>
      </c>
    </row>
    <row r="6" spans="1:48">
      <c r="A6" s="306" t="s">
        <v>1991</v>
      </c>
      <c r="B6" s="306" t="s">
        <v>34</v>
      </c>
      <c r="C6" s="306" t="s">
        <v>35</v>
      </c>
      <c r="D6" s="306" t="s">
        <v>36</v>
      </c>
      <c r="E6" s="306" t="s">
        <v>37</v>
      </c>
      <c r="F6" s="306" t="s">
        <v>38</v>
      </c>
      <c r="G6" s="306" t="s">
        <v>39</v>
      </c>
      <c r="H6" s="306" t="s">
        <v>40</v>
      </c>
      <c r="I6" s="307" t="s">
        <v>41</v>
      </c>
      <c r="J6" s="306" t="s">
        <v>42</v>
      </c>
      <c r="K6" s="306"/>
      <c r="L6" s="306"/>
      <c r="M6" s="306"/>
      <c r="N6" s="306"/>
      <c r="O6" s="306"/>
      <c r="P6" s="306"/>
      <c r="Q6" s="306"/>
      <c r="R6" s="306"/>
      <c r="S6">
        <v>4</v>
      </c>
      <c r="T6">
        <v>15</v>
      </c>
      <c r="AU6" s="93">
        <v>5</v>
      </c>
      <c r="AV6" t="s">
        <v>111</v>
      </c>
    </row>
    <row r="7" spans="1:48">
      <c r="A7"/>
      <c r="M7">
        <f t="shared" ref="M7:M9" si="0">IF(A7&gt;50,0,IF(A7&gt;25,5,IF(A7&gt;15,10,IF(A7&gt;10,15,IF(A7&gt;5,20,IF(A7&gt;4,25,IF(A7&gt;3,30,IF(A7&gt;2,35,IF(A7&gt;1,45,IF(A7=1,75,0))))))))))</f>
        <v>0</v>
      </c>
      <c r="N7">
        <f t="shared" ref="N7:N9" si="1">IF(A7&gt;50,0,IF(A7&gt;25,5,IF(A7&gt;15,10,IF(A7&gt;10,20,IF(A7&gt;5,30,IF(A7&gt;4,40,IF(A7&gt;3,50,IF(A7&gt;2,60,IF(A7&gt;1,70,IF(A7=1,125,0))))))))))</f>
        <v>0</v>
      </c>
      <c r="O7">
        <f t="shared" ref="O7:O9" si="2">IF(A7&gt;50,0,IF(A7&gt;25,10,IF(A7&gt;15,15,IF(A7&gt;10,30,IF(A7&gt;5,40,IF(A7&gt;4,50,IF(A7&gt;3,60,IF(A7&gt;2,70,IF(A7&gt;1,90,IF(A7=1,150,0))))))))))</f>
        <v>0</v>
      </c>
      <c r="P7">
        <f t="shared" ref="P7:P9" si="3">IF(A7&gt;50,0,IF(A7&gt;25,15,IF(A7&gt;15,20,IF(A7&gt;10,40,IF(A7&gt;5,60,IF(A7&gt;4,80,IF(A7&gt;3,100,IF(A7&gt;2,120,IF(A7&gt;1,140,IF(A7=1,250,0))))))))))</f>
        <v>0</v>
      </c>
      <c r="Q7">
        <f t="shared" ref="Q7:Q13" si="4">A7</f>
        <v>0</v>
      </c>
    </row>
    <row r="8" spans="1:48">
      <c r="A8"/>
      <c r="M8">
        <f t="shared" si="0"/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48">
      <c r="A9"/>
      <c r="M9">
        <f t="shared" si="0"/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</row>
    <row r="10" spans="1:48">
      <c r="A10"/>
      <c r="M10">
        <f>IF(A10&gt;50,0,IF(A10&gt;25,5,IF(A10&gt;15,10,IF(A10&gt;10,15,IF(A10&gt;5,20,IF(A10&gt;4,25,IF(A10&gt;3,30,IF(A10&gt;2,35,IF(A10&gt;1,45,IF(A10=1,75,0))))))))))</f>
        <v>0</v>
      </c>
      <c r="N10">
        <f>IF(A10&gt;50,0,IF(A10&gt;25,5,IF(A10&gt;15,10,IF(A10&gt;10,20,IF(A10&gt;5,30,IF(A10&gt;4,40,IF(A10&gt;3,50,IF(A10&gt;2,60,IF(A10&gt;1,70,IF(A10=1,125,0))))))))))</f>
        <v>0</v>
      </c>
      <c r="O10">
        <f>IF(A10&gt;50,0,IF(A10&gt;25,10,IF(A10&gt;15,15,IF(A10&gt;10,30,IF(A10&gt;5,40,IF(A10&gt;4,50,IF(A10&gt;3,60,IF(A10&gt;2,70,IF(A10&gt;1,90,IF(A10=1,150,0))))))))))</f>
        <v>0</v>
      </c>
      <c r="P10">
        <f>IF(A10&gt;50,0,IF(A10&gt;25,15,IF(A10&gt;15,20,IF(A10&gt;10,40,IF(A10&gt;5,60,IF(A10&gt;4,80,IF(A10&gt;3,100,IF(A10&gt;2,120,IF(A10&gt;1,140,IF(A10=1,250,0))))))))))</f>
        <v>0</v>
      </c>
      <c r="Q10">
        <f t="shared" si="4"/>
        <v>0</v>
      </c>
    </row>
    <row r="11" spans="1:48" ht="18.75">
      <c r="A11"/>
      <c r="M11">
        <f t="shared" ref="M11:M14" si="5">IF(A11&gt;50,0,IF(A11&gt;25,5,IF(A11&gt;15,10,IF(A11&gt;10,15,IF(A11&gt;5,20,IF(A11&gt;4,25,IF(A11&gt;3,30,IF(A11&gt;2,35,IF(A11&gt;1,45,IF(A11=1,75,0))))))))))</f>
        <v>0</v>
      </c>
      <c r="N11">
        <f t="shared" ref="N11:N14" si="6">IF(A11&gt;50,0,IF(A11&gt;25,5,IF(A11&gt;15,10,IF(A11&gt;10,20,IF(A11&gt;5,30,IF(A11&gt;4,40,IF(A11&gt;3,50,IF(A11&gt;2,60,IF(A11&gt;1,70,IF(A11=1,125,0))))))))))</f>
        <v>0</v>
      </c>
      <c r="O11">
        <f t="shared" ref="O11:O14" si="7">IF(A11&gt;50,0,IF(A11&gt;25,10,IF(A11&gt;15,15,IF(A11&gt;10,30,IF(A11&gt;5,40,IF(A11&gt;4,50,IF(A11&gt;3,60,IF(A11&gt;2,70,IF(A11&gt;1,90,IF(A11=1,150,0))))))))))</f>
        <v>0</v>
      </c>
      <c r="P11">
        <f t="shared" ref="P11:P14" si="8">IF(A11&gt;50,0,IF(A11&gt;25,15,IF(A11&gt;15,20,IF(A11&gt;10,40,IF(A11&gt;5,60,IF(A11&gt;4,80,IF(A11&gt;3,100,IF(A11&gt;2,120,IF(A11&gt;1,140,IF(A11=1,250,0))))))))))</f>
        <v>0</v>
      </c>
      <c r="Q11">
        <f t="shared" si="4"/>
        <v>0</v>
      </c>
      <c r="S11" s="391" t="s">
        <v>1969</v>
      </c>
      <c r="Y11" s="407" t="s">
        <v>2209</v>
      </c>
      <c r="Z11" s="407" t="s">
        <v>2209</v>
      </c>
      <c r="AA11" s="407" t="s">
        <v>2064</v>
      </c>
      <c r="AB11" s="407" t="s">
        <v>7</v>
      </c>
      <c r="AC11" s="407" t="s">
        <v>2210</v>
      </c>
      <c r="AD11" s="407" t="s">
        <v>2211</v>
      </c>
      <c r="AE11" s="407" t="s">
        <v>2212</v>
      </c>
      <c r="AF11" s="407" t="s">
        <v>2213</v>
      </c>
      <c r="AG11" s="407" t="s">
        <v>2214</v>
      </c>
    </row>
    <row r="12" spans="1:48">
      <c r="A12"/>
      <c r="M12">
        <f t="shared" si="5"/>
        <v>0</v>
      </c>
      <c r="N12">
        <f t="shared" si="6"/>
        <v>0</v>
      </c>
      <c r="O12">
        <f t="shared" si="7"/>
        <v>0</v>
      </c>
      <c r="P12">
        <f t="shared" si="8"/>
        <v>0</v>
      </c>
      <c r="Q12">
        <f t="shared" si="4"/>
        <v>0</v>
      </c>
      <c r="R12" s="79" t="str">
        <f t="shared" ref="R12:R23" si="9">IF(ISERROR(VLOOKUP(S12,AT:AV,2,FALSE)),"-",VLOOKUP(S12,AT:AV,2,FALSE))</f>
        <v>-</v>
      </c>
      <c r="S12" t="s">
        <v>2079</v>
      </c>
      <c r="T12" s="79">
        <f t="shared" ref="T12:T23" si="10">IF(ISERROR(VLOOKUP(S12,B:Q,TIER1,FALSE)),"-",VLOOKUP(S12,B:Q,TIER1,FALSE))</f>
        <v>60</v>
      </c>
      <c r="U12" s="79">
        <f t="shared" ref="U12:U23" si="11">IF(ISERROR(VLOOKUP(S12,B:Q,16,FALSE)),"-",VLOOKUP(S12,B:Q,16,FALSE))</f>
        <v>4</v>
      </c>
      <c r="Z12" s="407" t="s">
        <v>21</v>
      </c>
      <c r="AA12" s="407" t="s">
        <v>2113</v>
      </c>
      <c r="AB12" s="407" t="s">
        <v>2215</v>
      </c>
      <c r="AC12" s="407" t="s">
        <v>7</v>
      </c>
      <c r="AD12" s="407" t="s">
        <v>2216</v>
      </c>
      <c r="AE12" s="407" t="s">
        <v>2217</v>
      </c>
      <c r="AF12" s="407" t="s">
        <v>2218</v>
      </c>
      <c r="AG12" s="407" t="s">
        <v>2218</v>
      </c>
      <c r="AH12" s="407" t="s">
        <v>2219</v>
      </c>
    </row>
    <row r="13" spans="1:48">
      <c r="A13"/>
      <c r="M13">
        <f t="shared" si="5"/>
        <v>0</v>
      </c>
      <c r="N13">
        <f t="shared" si="6"/>
        <v>0</v>
      </c>
      <c r="O13">
        <f t="shared" si="7"/>
        <v>0</v>
      </c>
      <c r="P13">
        <f t="shared" si="8"/>
        <v>0</v>
      </c>
      <c r="Q13">
        <f t="shared" si="4"/>
        <v>0</v>
      </c>
      <c r="R13" s="79">
        <f t="shared" si="9"/>
        <v>1205</v>
      </c>
      <c r="S13" t="s">
        <v>438</v>
      </c>
      <c r="T13" s="79" t="str">
        <f t="shared" si="10"/>
        <v>-</v>
      </c>
      <c r="U13" s="79" t="str">
        <f t="shared" si="11"/>
        <v>-</v>
      </c>
      <c r="Z13" s="407" t="s">
        <v>21</v>
      </c>
      <c r="AA13" s="407" t="s">
        <v>2076</v>
      </c>
      <c r="AB13" s="407" t="s">
        <v>2215</v>
      </c>
      <c r="AC13" s="407" t="s">
        <v>7</v>
      </c>
      <c r="AD13" s="407" t="s">
        <v>2210</v>
      </c>
      <c r="AE13" s="407" t="s">
        <v>2217</v>
      </c>
      <c r="AF13" s="407" t="s">
        <v>2210</v>
      </c>
      <c r="AG13" s="407" t="s">
        <v>2220</v>
      </c>
      <c r="AH13" s="407" t="s">
        <v>2219</v>
      </c>
    </row>
    <row r="14" spans="1:48">
      <c r="A14"/>
      <c r="M14">
        <f t="shared" si="5"/>
        <v>0</v>
      </c>
      <c r="N14">
        <f t="shared" si="6"/>
        <v>0</v>
      </c>
      <c r="O14">
        <f t="shared" si="7"/>
        <v>0</v>
      </c>
      <c r="P14">
        <f t="shared" si="8"/>
        <v>0</v>
      </c>
      <c r="Q14">
        <f t="shared" ref="Q14" si="12">A14</f>
        <v>0</v>
      </c>
      <c r="R14" s="79" t="str">
        <f t="shared" si="9"/>
        <v>-</v>
      </c>
      <c r="S14" t="s">
        <v>2120</v>
      </c>
      <c r="T14" s="79">
        <f t="shared" si="10"/>
        <v>15</v>
      </c>
      <c r="U14" s="79">
        <f t="shared" si="11"/>
        <v>17</v>
      </c>
      <c r="Z14" s="407" t="s">
        <v>23</v>
      </c>
      <c r="AA14" s="407" t="s">
        <v>2117</v>
      </c>
      <c r="AB14" s="407" t="s">
        <v>2221</v>
      </c>
      <c r="AC14" s="407" t="s">
        <v>7</v>
      </c>
      <c r="AD14" s="407" t="s">
        <v>2222</v>
      </c>
      <c r="AE14" s="407" t="s">
        <v>2212</v>
      </c>
      <c r="AF14" s="407" t="s">
        <v>2212</v>
      </c>
      <c r="AG14" s="407" t="s">
        <v>2223</v>
      </c>
      <c r="AH14" s="407" t="s">
        <v>2224</v>
      </c>
    </row>
    <row r="15" spans="1:48">
      <c r="A15"/>
      <c r="M15">
        <f t="shared" ref="M15:M42" si="13">IF(A15&gt;50,0,IF(A15&gt;25,5,IF(A15&gt;15,10,IF(A15&gt;10,15,IF(A15&gt;5,20,IF(A15&gt;4,25,IF(A15&gt;3,30,IF(A15&gt;2,35,IF(A15&gt;1,45,IF(A15=1,75,0))))))))))</f>
        <v>0</v>
      </c>
      <c r="N15">
        <f t="shared" ref="N15:N42" si="14">IF(A15&gt;50,0,IF(A15&gt;25,5,IF(A15&gt;15,10,IF(A15&gt;10,20,IF(A15&gt;5,30,IF(A15&gt;4,40,IF(A15&gt;3,50,IF(A15&gt;2,60,IF(A15&gt;1,70,IF(A15=1,125,0))))))))))</f>
        <v>0</v>
      </c>
      <c r="O15">
        <f t="shared" ref="O15:O42" si="15">IF(A15&gt;50,0,IF(A15&gt;25,10,IF(A15&gt;15,15,IF(A15&gt;10,30,IF(A15&gt;5,40,IF(A15&gt;4,50,IF(A15&gt;3,60,IF(A15&gt;2,70,IF(A15&gt;1,90,IF(A15=1,150,0))))))))))</f>
        <v>0</v>
      </c>
      <c r="P15">
        <f t="shared" ref="P15:P42" si="16">IF(A15&gt;50,0,IF(A15&gt;25,15,IF(A15&gt;15,20,IF(A15&gt;10,40,IF(A15&gt;5,60,IF(A15&gt;4,80,IF(A15&gt;3,100,IF(A15&gt;2,120,IF(A15&gt;1,140,IF(A15=1,250,0))))))))))</f>
        <v>0</v>
      </c>
      <c r="Q15">
        <f t="shared" ref="Q15:Q42" si="17">A15</f>
        <v>0</v>
      </c>
      <c r="R15" s="79" t="str">
        <f t="shared" si="9"/>
        <v>-</v>
      </c>
      <c r="S15" t="s">
        <v>2130</v>
      </c>
      <c r="T15" s="79" t="str">
        <f t="shared" si="10"/>
        <v>-</v>
      </c>
      <c r="U15" s="79" t="str">
        <f t="shared" si="11"/>
        <v>-</v>
      </c>
      <c r="Z15" t="s">
        <v>23</v>
      </c>
      <c r="AA15" s="407" t="s">
        <v>2079</v>
      </c>
      <c r="AB15" s="407" t="s">
        <v>2221</v>
      </c>
      <c r="AC15" s="407" t="s">
        <v>7</v>
      </c>
      <c r="AD15" s="407" t="s">
        <v>2211</v>
      </c>
      <c r="AE15" s="407" t="s">
        <v>2218</v>
      </c>
      <c r="AF15" s="407" t="s">
        <v>2217</v>
      </c>
      <c r="AG15" s="407" t="s">
        <v>2213</v>
      </c>
      <c r="AH15" s="407" t="s">
        <v>2224</v>
      </c>
    </row>
    <row r="16" spans="1:48">
      <c r="A16"/>
      <c r="M16">
        <f t="shared" si="13"/>
        <v>0</v>
      </c>
      <c r="N16">
        <f t="shared" si="14"/>
        <v>0</v>
      </c>
      <c r="O16">
        <f t="shared" si="15"/>
        <v>0</v>
      </c>
      <c r="P16">
        <f t="shared" si="16"/>
        <v>0</v>
      </c>
      <c r="Q16">
        <f t="shared" si="17"/>
        <v>0</v>
      </c>
      <c r="R16" s="79" t="str">
        <f t="shared" si="9"/>
        <v>-</v>
      </c>
      <c r="S16" t="s">
        <v>2131</v>
      </c>
      <c r="T16" s="79" t="str">
        <f t="shared" si="10"/>
        <v>-</v>
      </c>
      <c r="U16" s="79" t="str">
        <f t="shared" si="11"/>
        <v>-</v>
      </c>
      <c r="Y16" s="408"/>
    </row>
    <row r="17" spans="1:47">
      <c r="A17">
        <v>1</v>
      </c>
      <c r="B17" t="s">
        <v>2064</v>
      </c>
      <c r="M17">
        <f t="shared" si="13"/>
        <v>75</v>
      </c>
      <c r="N17">
        <f t="shared" si="14"/>
        <v>125</v>
      </c>
      <c r="O17">
        <f t="shared" si="15"/>
        <v>150</v>
      </c>
      <c r="P17">
        <f t="shared" si="16"/>
        <v>250</v>
      </c>
      <c r="Q17">
        <f t="shared" si="17"/>
        <v>1</v>
      </c>
      <c r="R17" s="79" t="str">
        <f t="shared" si="9"/>
        <v>-</v>
      </c>
      <c r="S17" t="s">
        <v>2149</v>
      </c>
      <c r="T17" s="79" t="str">
        <f t="shared" si="10"/>
        <v>-</v>
      </c>
      <c r="U17" s="79" t="str">
        <f t="shared" si="11"/>
        <v>-</v>
      </c>
      <c r="Z17" s="407" t="s">
        <v>23</v>
      </c>
      <c r="AA17" s="407" t="s">
        <v>2124</v>
      </c>
      <c r="AB17" s="407" t="s">
        <v>2221</v>
      </c>
      <c r="AC17" s="407" t="s">
        <v>7</v>
      </c>
      <c r="AD17" s="407" t="s">
        <v>2212</v>
      </c>
      <c r="AE17" s="407" t="s">
        <v>2223</v>
      </c>
      <c r="AF17" s="407" t="s">
        <v>2220</v>
      </c>
      <c r="AG17" s="407" t="s">
        <v>2217</v>
      </c>
      <c r="AH17" s="407" t="s">
        <v>2224</v>
      </c>
      <c r="AU17" s="304"/>
    </row>
    <row r="18" spans="1:47">
      <c r="A18">
        <v>2</v>
      </c>
      <c r="B18" t="s">
        <v>2113</v>
      </c>
      <c r="M18">
        <f t="shared" si="13"/>
        <v>45</v>
      </c>
      <c r="N18">
        <f t="shared" si="14"/>
        <v>70</v>
      </c>
      <c r="O18">
        <f t="shared" si="15"/>
        <v>90</v>
      </c>
      <c r="P18">
        <f t="shared" si="16"/>
        <v>140</v>
      </c>
      <c r="Q18">
        <f t="shared" si="17"/>
        <v>2</v>
      </c>
      <c r="R18" s="79" t="str">
        <f t="shared" si="9"/>
        <v>-</v>
      </c>
      <c r="S18" t="s">
        <v>2150</v>
      </c>
      <c r="T18" s="79">
        <f t="shared" si="10"/>
        <v>15</v>
      </c>
      <c r="U18" s="79">
        <f t="shared" si="11"/>
        <v>19</v>
      </c>
      <c r="Z18" s="407" t="s">
        <v>2225</v>
      </c>
      <c r="AA18" s="407" t="s">
        <v>2063</v>
      </c>
      <c r="AB18" s="407" t="s">
        <v>2226</v>
      </c>
      <c r="AC18" s="407" t="s">
        <v>7</v>
      </c>
      <c r="AD18" s="407" t="s">
        <v>2210</v>
      </c>
      <c r="AE18" s="407" t="s">
        <v>2218</v>
      </c>
      <c r="AF18" s="407" t="s">
        <v>2218</v>
      </c>
      <c r="AG18" s="407" t="s">
        <v>2227</v>
      </c>
      <c r="AH18" s="407" t="s">
        <v>2228</v>
      </c>
      <c r="AU18" s="304"/>
    </row>
    <row r="19" spans="1:47">
      <c r="A19">
        <v>2</v>
      </c>
      <c r="B19" t="s">
        <v>2076</v>
      </c>
      <c r="M19">
        <f t="shared" si="13"/>
        <v>45</v>
      </c>
      <c r="N19">
        <f t="shared" si="14"/>
        <v>70</v>
      </c>
      <c r="O19">
        <f t="shared" si="15"/>
        <v>90</v>
      </c>
      <c r="P19">
        <f t="shared" si="16"/>
        <v>140</v>
      </c>
      <c r="Q19">
        <f t="shared" si="17"/>
        <v>2</v>
      </c>
      <c r="R19" s="79" t="str">
        <f t="shared" si="9"/>
        <v>-</v>
      </c>
      <c r="S19" t="s">
        <v>2168</v>
      </c>
      <c r="T19" s="79" t="str">
        <f t="shared" si="10"/>
        <v>-</v>
      </c>
      <c r="U19" s="79" t="str">
        <f t="shared" si="11"/>
        <v>-</v>
      </c>
      <c r="Y19" s="408"/>
      <c r="Z19" s="407" t="s">
        <v>2225</v>
      </c>
      <c r="AA19" s="407" t="s">
        <v>2073</v>
      </c>
      <c r="AB19" s="407" t="s">
        <v>2226</v>
      </c>
      <c r="AC19" s="407" t="s">
        <v>7</v>
      </c>
      <c r="AD19" s="407" t="s">
        <v>2212</v>
      </c>
      <c r="AE19" s="407" t="s">
        <v>2217</v>
      </c>
      <c r="AF19" s="407" t="s">
        <v>2213</v>
      </c>
      <c r="AG19" s="407" t="s">
        <v>2217</v>
      </c>
      <c r="AH19" s="407" t="s">
        <v>2228</v>
      </c>
    </row>
    <row r="20" spans="1:47">
      <c r="A20">
        <v>4</v>
      </c>
      <c r="B20" t="s">
        <v>2117</v>
      </c>
      <c r="M20">
        <f t="shared" si="13"/>
        <v>30</v>
      </c>
      <c r="N20">
        <f t="shared" si="14"/>
        <v>50</v>
      </c>
      <c r="O20">
        <f t="shared" si="15"/>
        <v>60</v>
      </c>
      <c r="P20">
        <f t="shared" si="16"/>
        <v>100</v>
      </c>
      <c r="Q20">
        <f t="shared" si="17"/>
        <v>4</v>
      </c>
      <c r="R20" s="79" t="str">
        <f t="shared" si="9"/>
        <v>-</v>
      </c>
      <c r="S20" t="s">
        <v>2169</v>
      </c>
      <c r="T20" s="79" t="str">
        <f t="shared" si="10"/>
        <v>-</v>
      </c>
      <c r="U20" s="79" t="str">
        <f t="shared" si="11"/>
        <v>-</v>
      </c>
      <c r="Y20" s="408"/>
      <c r="Z20" s="407" t="s">
        <v>2225</v>
      </c>
      <c r="AA20" s="407" t="s">
        <v>2116</v>
      </c>
      <c r="AB20" s="407" t="s">
        <v>2226</v>
      </c>
      <c r="AC20" s="407" t="s">
        <v>7</v>
      </c>
      <c r="AD20" s="407" t="s">
        <v>2222</v>
      </c>
      <c r="AE20" s="407" t="s">
        <v>2210</v>
      </c>
      <c r="AF20" s="407" t="s">
        <v>2211</v>
      </c>
      <c r="AG20" s="407" t="s">
        <v>2222</v>
      </c>
      <c r="AH20" s="407" t="s">
        <v>2228</v>
      </c>
    </row>
    <row r="21" spans="1:47">
      <c r="A21">
        <v>4</v>
      </c>
      <c r="B21" t="s">
        <v>2079</v>
      </c>
      <c r="M21">
        <f t="shared" si="13"/>
        <v>30</v>
      </c>
      <c r="N21">
        <f t="shared" si="14"/>
        <v>50</v>
      </c>
      <c r="O21">
        <f t="shared" si="15"/>
        <v>60</v>
      </c>
      <c r="P21">
        <f t="shared" si="16"/>
        <v>100</v>
      </c>
      <c r="Q21">
        <f t="shared" si="17"/>
        <v>4</v>
      </c>
      <c r="R21" s="79" t="str">
        <f t="shared" si="9"/>
        <v>-</v>
      </c>
      <c r="S21" t="s">
        <v>2187</v>
      </c>
      <c r="T21" s="79" t="str">
        <f t="shared" si="10"/>
        <v>-</v>
      </c>
      <c r="U21" s="79" t="str">
        <f t="shared" si="11"/>
        <v>-</v>
      </c>
      <c r="Y21" s="408"/>
      <c r="Z21" s="407" t="s">
        <v>2229</v>
      </c>
      <c r="AA21" s="407" t="s">
        <v>2206</v>
      </c>
      <c r="AB21" s="407" t="s">
        <v>2230</v>
      </c>
      <c r="AC21" s="407" t="s">
        <v>7</v>
      </c>
      <c r="AD21" s="407" t="s">
        <v>2222</v>
      </c>
      <c r="AE21" s="407" t="s">
        <v>2211</v>
      </c>
      <c r="AF21" s="407" t="s">
        <v>2218</v>
      </c>
      <c r="AG21" s="407" t="s">
        <v>2217</v>
      </c>
      <c r="AH21" s="407" t="s">
        <v>2231</v>
      </c>
    </row>
    <row r="22" spans="1:47">
      <c r="A22"/>
      <c r="M22">
        <f t="shared" si="13"/>
        <v>0</v>
      </c>
      <c r="N22">
        <f t="shared" si="14"/>
        <v>0</v>
      </c>
      <c r="O22">
        <f t="shared" si="15"/>
        <v>0</v>
      </c>
      <c r="P22">
        <f t="shared" si="16"/>
        <v>0</v>
      </c>
      <c r="Q22">
        <f t="shared" si="17"/>
        <v>0</v>
      </c>
      <c r="R22" s="79" t="str">
        <f t="shared" si="9"/>
        <v>-</v>
      </c>
      <c r="S22" t="s">
        <v>2078</v>
      </c>
      <c r="T22" s="79" t="str">
        <f t="shared" si="10"/>
        <v>-</v>
      </c>
      <c r="U22" s="79" t="str">
        <f t="shared" si="11"/>
        <v>-</v>
      </c>
      <c r="Z22" s="407" t="s">
        <v>2229</v>
      </c>
      <c r="AA22" s="407" t="s">
        <v>2151</v>
      </c>
      <c r="AB22" s="407" t="s">
        <v>2230</v>
      </c>
      <c r="AC22" s="407" t="s">
        <v>7</v>
      </c>
      <c r="AD22" s="407" t="s">
        <v>2217</v>
      </c>
      <c r="AE22" s="407" t="s">
        <v>2212</v>
      </c>
      <c r="AF22" s="407" t="s">
        <v>2213</v>
      </c>
      <c r="AG22" s="407" t="s">
        <v>2212</v>
      </c>
      <c r="AH22" s="407" t="s">
        <v>2231</v>
      </c>
    </row>
    <row r="23" spans="1:47">
      <c r="A23">
        <v>4</v>
      </c>
      <c r="B23" t="s">
        <v>2124</v>
      </c>
      <c r="M23">
        <f t="shared" si="13"/>
        <v>30</v>
      </c>
      <c r="N23">
        <f t="shared" si="14"/>
        <v>50</v>
      </c>
      <c r="O23">
        <f t="shared" si="15"/>
        <v>60</v>
      </c>
      <c r="P23">
        <f t="shared" si="16"/>
        <v>100</v>
      </c>
      <c r="Q23">
        <f t="shared" si="17"/>
        <v>4</v>
      </c>
      <c r="R23" s="79">
        <f t="shared" si="9"/>
        <v>1</v>
      </c>
      <c r="S23" t="s">
        <v>103</v>
      </c>
      <c r="T23" s="79" t="str">
        <f t="shared" si="10"/>
        <v>-</v>
      </c>
      <c r="U23" s="79" t="str">
        <f t="shared" si="11"/>
        <v>-</v>
      </c>
      <c r="Y23" s="408"/>
      <c r="Z23" s="407" t="s">
        <v>2232</v>
      </c>
      <c r="AA23" s="407" t="s">
        <v>2067</v>
      </c>
      <c r="AB23" s="407" t="s">
        <v>2233</v>
      </c>
      <c r="AC23" s="407" t="s">
        <v>7</v>
      </c>
      <c r="AD23" s="407" t="s">
        <v>2213</v>
      </c>
      <c r="AE23" s="407" t="s">
        <v>2220</v>
      </c>
      <c r="AF23" s="407" t="s">
        <v>2212</v>
      </c>
      <c r="AG23" s="407" t="s">
        <v>2211</v>
      </c>
      <c r="AH23" s="407" t="s">
        <v>2234</v>
      </c>
    </row>
    <row r="24" spans="1:47">
      <c r="A24">
        <v>7</v>
      </c>
      <c r="B24" t="s">
        <v>2063</v>
      </c>
      <c r="M24">
        <f t="shared" si="13"/>
        <v>20</v>
      </c>
      <c r="N24">
        <f t="shared" si="14"/>
        <v>30</v>
      </c>
      <c r="O24">
        <f t="shared" si="15"/>
        <v>40</v>
      </c>
      <c r="P24">
        <f t="shared" si="16"/>
        <v>60</v>
      </c>
      <c r="Q24">
        <f t="shared" si="17"/>
        <v>7</v>
      </c>
      <c r="R24" s="79"/>
      <c r="T24" s="79"/>
      <c r="U24" s="79"/>
      <c r="Y24" s="408"/>
      <c r="Z24" s="407" t="s">
        <v>2235</v>
      </c>
      <c r="AA24" s="407" t="s">
        <v>2123</v>
      </c>
      <c r="AB24" s="407" t="s">
        <v>2236</v>
      </c>
      <c r="AC24" s="407" t="s">
        <v>7</v>
      </c>
      <c r="AD24" s="407" t="s">
        <v>2212</v>
      </c>
      <c r="AE24" s="407" t="s">
        <v>2220</v>
      </c>
      <c r="AF24" s="407" t="s">
        <v>2218</v>
      </c>
      <c r="AG24" s="407" t="s">
        <v>2211</v>
      </c>
      <c r="AH24" s="407" t="s">
        <v>2237</v>
      </c>
      <c r="AU24" s="304"/>
    </row>
    <row r="25" spans="1:47" ht="18.75">
      <c r="A25">
        <v>7</v>
      </c>
      <c r="B25" t="s">
        <v>2073</v>
      </c>
      <c r="M25">
        <f t="shared" si="13"/>
        <v>20</v>
      </c>
      <c r="N25">
        <f t="shared" si="14"/>
        <v>30</v>
      </c>
      <c r="O25">
        <f t="shared" si="15"/>
        <v>40</v>
      </c>
      <c r="P25">
        <f t="shared" si="16"/>
        <v>60</v>
      </c>
      <c r="Q25">
        <f t="shared" si="17"/>
        <v>7</v>
      </c>
      <c r="R25" s="79" t="str">
        <f t="shared" ref="R25:R35" si="18">IF(ISERROR(VLOOKUP(S25,AT:AV,2,FALSE)),"-",VLOOKUP(S25,AT:AV,2,FALSE))</f>
        <v>-</v>
      </c>
      <c r="S25" s="391" t="s">
        <v>104</v>
      </c>
      <c r="T25" s="79"/>
      <c r="U25" s="79"/>
      <c r="Y25" s="408"/>
      <c r="Z25" s="407" t="s">
        <v>2235</v>
      </c>
      <c r="AA25" s="407" t="s">
        <v>2147</v>
      </c>
      <c r="AB25" s="407" t="s">
        <v>2236</v>
      </c>
      <c r="AC25" s="407" t="s">
        <v>7</v>
      </c>
      <c r="AD25" s="407" t="s">
        <v>2213</v>
      </c>
      <c r="AE25" s="407" t="s">
        <v>2217</v>
      </c>
      <c r="AF25" s="407" t="s">
        <v>2218</v>
      </c>
      <c r="AG25" s="407" t="s">
        <v>2212</v>
      </c>
      <c r="AH25" s="407" t="s">
        <v>2237</v>
      </c>
    </row>
    <row r="26" spans="1:47" ht="15.75">
      <c r="A26">
        <v>7</v>
      </c>
      <c r="B26" t="s">
        <v>2116</v>
      </c>
      <c r="M26">
        <f t="shared" si="13"/>
        <v>20</v>
      </c>
      <c r="N26">
        <f t="shared" si="14"/>
        <v>30</v>
      </c>
      <c r="O26">
        <f t="shared" si="15"/>
        <v>40</v>
      </c>
      <c r="P26">
        <f t="shared" si="16"/>
        <v>60</v>
      </c>
      <c r="Q26">
        <f t="shared" si="17"/>
        <v>7</v>
      </c>
      <c r="R26" s="79" t="str">
        <f t="shared" si="18"/>
        <v>-</v>
      </c>
      <c r="S26" s="390" t="s">
        <v>2072</v>
      </c>
      <c r="T26" s="79" t="str">
        <f t="shared" ref="T26:T37" si="19">IF(ISERROR(VLOOKUP(S26,B:Q,TIER1,FALSE)),"-",VLOOKUP(S26,B:Q,TIER1,FALSE))</f>
        <v>-</v>
      </c>
      <c r="U26" s="79" t="str">
        <f t="shared" ref="U26:U37" si="20">IF(ISERROR(VLOOKUP(S26,B:Q,16,FALSE)),"-",VLOOKUP(S26,B:Q,16,FALSE))</f>
        <v>-</v>
      </c>
      <c r="Y26" s="408"/>
      <c r="Z26" s="407" t="s">
        <v>2235</v>
      </c>
      <c r="AA26" s="407" t="s">
        <v>230</v>
      </c>
      <c r="AB26" s="407" t="s">
        <v>2236</v>
      </c>
      <c r="AC26" s="407" t="s">
        <v>7</v>
      </c>
      <c r="AD26" s="407" t="s">
        <v>2217</v>
      </c>
      <c r="AE26" s="407" t="s">
        <v>2212</v>
      </c>
      <c r="AF26" s="407" t="s">
        <v>2218</v>
      </c>
      <c r="AG26" s="407" t="s">
        <v>2213</v>
      </c>
      <c r="AH26" s="407" t="s">
        <v>2237</v>
      </c>
    </row>
    <row r="27" spans="1:47">
      <c r="A27">
        <v>10</v>
      </c>
      <c r="B27" t="s">
        <v>2206</v>
      </c>
      <c r="M27">
        <f t="shared" si="13"/>
        <v>20</v>
      </c>
      <c r="N27">
        <f t="shared" si="14"/>
        <v>30</v>
      </c>
      <c r="O27">
        <f t="shared" si="15"/>
        <v>40</v>
      </c>
      <c r="P27">
        <f t="shared" si="16"/>
        <v>60</v>
      </c>
      <c r="Q27">
        <f t="shared" si="17"/>
        <v>10</v>
      </c>
      <c r="R27" s="79" t="str">
        <f t="shared" si="18"/>
        <v>-</v>
      </c>
      <c r="S27" t="s">
        <v>2073</v>
      </c>
      <c r="T27" s="79">
        <f t="shared" si="19"/>
        <v>40</v>
      </c>
      <c r="U27" s="79">
        <f t="shared" si="20"/>
        <v>7</v>
      </c>
      <c r="Y27" s="408"/>
      <c r="Z27" s="407" t="s">
        <v>2235</v>
      </c>
      <c r="AA27" s="407" t="s">
        <v>2118</v>
      </c>
      <c r="AB27" s="407" t="s">
        <v>2236</v>
      </c>
      <c r="AC27" s="407" t="s">
        <v>7</v>
      </c>
      <c r="AD27" s="407" t="s">
        <v>2222</v>
      </c>
      <c r="AE27" s="407" t="s">
        <v>2211</v>
      </c>
      <c r="AF27" s="407" t="s">
        <v>2213</v>
      </c>
      <c r="AG27" s="407" t="s">
        <v>2218</v>
      </c>
      <c r="AH27" s="407" t="s">
        <v>2237</v>
      </c>
    </row>
    <row r="28" spans="1:47">
      <c r="A28">
        <v>10</v>
      </c>
      <c r="B28" t="s">
        <v>2151</v>
      </c>
      <c r="M28">
        <f t="shared" si="13"/>
        <v>20</v>
      </c>
      <c r="N28">
        <f t="shared" si="14"/>
        <v>30</v>
      </c>
      <c r="O28">
        <f t="shared" si="15"/>
        <v>40</v>
      </c>
      <c r="P28">
        <f t="shared" si="16"/>
        <v>60</v>
      </c>
      <c r="Q28">
        <f t="shared" si="17"/>
        <v>10</v>
      </c>
      <c r="R28" s="79" t="str">
        <f t="shared" si="18"/>
        <v>-</v>
      </c>
      <c r="S28" t="s">
        <v>2193</v>
      </c>
      <c r="T28" s="79" t="str">
        <f t="shared" si="19"/>
        <v>-</v>
      </c>
      <c r="U28" s="79" t="str">
        <f t="shared" si="20"/>
        <v>-</v>
      </c>
      <c r="Y28" s="408"/>
      <c r="Z28" s="407" t="s">
        <v>2238</v>
      </c>
      <c r="AA28" s="407" t="s">
        <v>2154</v>
      </c>
      <c r="AB28" s="407" t="s">
        <v>2239</v>
      </c>
      <c r="AC28" s="407" t="s">
        <v>7</v>
      </c>
      <c r="AD28" s="407" t="s">
        <v>2222</v>
      </c>
      <c r="AE28" s="407" t="s">
        <v>2227</v>
      </c>
      <c r="AF28" s="407" t="s">
        <v>2222</v>
      </c>
      <c r="AG28" s="407" t="s">
        <v>2217</v>
      </c>
      <c r="AH28" s="407" t="s">
        <v>2240</v>
      </c>
    </row>
    <row r="29" spans="1:47">
      <c r="A29">
        <v>12</v>
      </c>
      <c r="B29" t="s">
        <v>2067</v>
      </c>
      <c r="M29">
        <f t="shared" si="13"/>
        <v>15</v>
      </c>
      <c r="N29">
        <f t="shared" si="14"/>
        <v>20</v>
      </c>
      <c r="O29">
        <f t="shared" si="15"/>
        <v>30</v>
      </c>
      <c r="P29">
        <f t="shared" si="16"/>
        <v>40</v>
      </c>
      <c r="Q29">
        <f t="shared" si="17"/>
        <v>12</v>
      </c>
      <c r="R29" s="79" t="str">
        <f t="shared" si="18"/>
        <v>-</v>
      </c>
      <c r="S29" t="s">
        <v>2125</v>
      </c>
      <c r="T29" s="79" t="str">
        <f t="shared" si="19"/>
        <v>-</v>
      </c>
      <c r="U29" s="79" t="str">
        <f t="shared" si="20"/>
        <v>-</v>
      </c>
      <c r="Y29" s="408"/>
      <c r="Z29" s="407" t="s">
        <v>2238</v>
      </c>
      <c r="AA29" s="407" t="s">
        <v>2120</v>
      </c>
      <c r="AB29" s="407" t="s">
        <v>2239</v>
      </c>
      <c r="AC29" s="407" t="s">
        <v>7</v>
      </c>
      <c r="AD29" s="407" t="s">
        <v>2210</v>
      </c>
      <c r="AE29" s="407" t="s">
        <v>2217</v>
      </c>
      <c r="AF29" s="407" t="s">
        <v>2241</v>
      </c>
      <c r="AG29" s="407" t="s">
        <v>2218</v>
      </c>
      <c r="AH29" s="407" t="s">
        <v>2240</v>
      </c>
    </row>
    <row r="30" spans="1:47">
      <c r="A30">
        <v>13</v>
      </c>
      <c r="B30" t="s">
        <v>2123</v>
      </c>
      <c r="M30">
        <f t="shared" si="13"/>
        <v>15</v>
      </c>
      <c r="N30">
        <f t="shared" si="14"/>
        <v>20</v>
      </c>
      <c r="O30">
        <f t="shared" si="15"/>
        <v>30</v>
      </c>
      <c r="P30">
        <f t="shared" si="16"/>
        <v>40</v>
      </c>
      <c r="Q30">
        <f t="shared" si="17"/>
        <v>13</v>
      </c>
      <c r="R30" s="79" t="str">
        <f t="shared" si="18"/>
        <v>-</v>
      </c>
      <c r="S30" t="s">
        <v>2129</v>
      </c>
      <c r="T30" s="79" t="str">
        <f t="shared" si="19"/>
        <v>-</v>
      </c>
      <c r="U30" s="79" t="str">
        <f t="shared" si="20"/>
        <v>-</v>
      </c>
      <c r="Y30" s="408"/>
      <c r="Z30" s="407" t="s">
        <v>2242</v>
      </c>
      <c r="AA30" s="407" t="s">
        <v>2074</v>
      </c>
      <c r="AB30" s="407" t="s">
        <v>2243</v>
      </c>
      <c r="AC30" s="407" t="s">
        <v>7</v>
      </c>
      <c r="AD30" s="407" t="s">
        <v>2210</v>
      </c>
      <c r="AE30" s="407" t="s">
        <v>2222</v>
      </c>
      <c r="AF30" s="407" t="s">
        <v>2222</v>
      </c>
      <c r="AG30" s="407" t="s">
        <v>2213</v>
      </c>
      <c r="AH30" s="407" t="s">
        <v>2244</v>
      </c>
    </row>
    <row r="31" spans="1:47">
      <c r="A31">
        <v>13</v>
      </c>
      <c r="B31" t="s">
        <v>2147</v>
      </c>
      <c r="M31">
        <f t="shared" si="13"/>
        <v>15</v>
      </c>
      <c r="N31">
        <f t="shared" si="14"/>
        <v>20</v>
      </c>
      <c r="O31">
        <f t="shared" si="15"/>
        <v>30</v>
      </c>
      <c r="P31">
        <f t="shared" si="16"/>
        <v>40</v>
      </c>
      <c r="Q31">
        <f t="shared" si="17"/>
        <v>13</v>
      </c>
      <c r="R31" s="79" t="str">
        <f t="shared" si="18"/>
        <v>-</v>
      </c>
      <c r="S31" t="s">
        <v>2132</v>
      </c>
      <c r="T31" s="79" t="str">
        <f t="shared" si="19"/>
        <v>-</v>
      </c>
      <c r="U31" s="79" t="str">
        <f t="shared" si="20"/>
        <v>-</v>
      </c>
      <c r="Y31" s="408"/>
      <c r="Z31" s="407" t="s">
        <v>2242</v>
      </c>
      <c r="AA31" s="407" t="s">
        <v>2150</v>
      </c>
      <c r="AB31" s="407" t="s">
        <v>2243</v>
      </c>
      <c r="AC31" s="407" t="s">
        <v>7</v>
      </c>
      <c r="AD31" s="407" t="s">
        <v>2212</v>
      </c>
      <c r="AE31" s="407" t="s">
        <v>2212</v>
      </c>
      <c r="AF31" s="407" t="s">
        <v>2213</v>
      </c>
      <c r="AG31" s="407" t="s">
        <v>2222</v>
      </c>
      <c r="AH31" s="407" t="s">
        <v>2244</v>
      </c>
      <c r="AU31" s="304"/>
    </row>
    <row r="32" spans="1:47">
      <c r="A32">
        <v>13</v>
      </c>
      <c r="B32" t="s">
        <v>230</v>
      </c>
      <c r="M32">
        <f t="shared" si="13"/>
        <v>15</v>
      </c>
      <c r="N32">
        <f t="shared" si="14"/>
        <v>20</v>
      </c>
      <c r="O32">
        <f t="shared" si="15"/>
        <v>30</v>
      </c>
      <c r="P32">
        <f t="shared" si="16"/>
        <v>40</v>
      </c>
      <c r="Q32">
        <f t="shared" si="17"/>
        <v>13</v>
      </c>
      <c r="R32" s="79" t="str">
        <f t="shared" si="18"/>
        <v>-</v>
      </c>
      <c r="S32" t="s">
        <v>2148</v>
      </c>
      <c r="T32" s="79" t="str">
        <f t="shared" si="19"/>
        <v>-</v>
      </c>
      <c r="U32" s="79" t="str">
        <f t="shared" si="20"/>
        <v>-</v>
      </c>
      <c r="Y32" s="408"/>
      <c r="Z32" s="407" t="s">
        <v>2245</v>
      </c>
      <c r="AA32" s="407" t="s">
        <v>2136</v>
      </c>
      <c r="AB32" s="407" t="s">
        <v>2246</v>
      </c>
      <c r="AC32" s="407" t="s">
        <v>7</v>
      </c>
      <c r="AD32" s="407" t="s">
        <v>2218</v>
      </c>
      <c r="AE32" s="407" t="s">
        <v>2222</v>
      </c>
      <c r="AF32" s="407" t="s">
        <v>2218</v>
      </c>
      <c r="AG32" s="407" t="s">
        <v>2227</v>
      </c>
      <c r="AH32" s="407" t="s">
        <v>2247</v>
      </c>
      <c r="AU32" s="304"/>
    </row>
    <row r="33" spans="1:47">
      <c r="A33">
        <v>13</v>
      </c>
      <c r="B33" t="s">
        <v>2118</v>
      </c>
      <c r="M33">
        <f t="shared" si="13"/>
        <v>15</v>
      </c>
      <c r="N33">
        <f t="shared" si="14"/>
        <v>20</v>
      </c>
      <c r="O33">
        <f t="shared" si="15"/>
        <v>30</v>
      </c>
      <c r="P33">
        <f t="shared" si="16"/>
        <v>40</v>
      </c>
      <c r="Q33">
        <f t="shared" si="17"/>
        <v>13</v>
      </c>
      <c r="R33" s="79" t="str">
        <f t="shared" si="18"/>
        <v>-</v>
      </c>
      <c r="S33" t="s">
        <v>2151</v>
      </c>
      <c r="T33" s="79">
        <f t="shared" si="19"/>
        <v>40</v>
      </c>
      <c r="U33" s="79">
        <f t="shared" si="20"/>
        <v>10</v>
      </c>
      <c r="Y33" s="408"/>
      <c r="Z33" s="407" t="s">
        <v>2245</v>
      </c>
      <c r="AA33" s="407" t="s">
        <v>2083</v>
      </c>
      <c r="AB33" s="407" t="s">
        <v>2246</v>
      </c>
      <c r="AC33" s="407" t="s">
        <v>7</v>
      </c>
      <c r="AD33" s="407" t="s">
        <v>2217</v>
      </c>
      <c r="AE33" s="407" t="s">
        <v>2213</v>
      </c>
      <c r="AF33" s="407" t="s">
        <v>2220</v>
      </c>
      <c r="AG33" s="407" t="s">
        <v>2213</v>
      </c>
      <c r="AH33" s="407" t="s">
        <v>2247</v>
      </c>
    </row>
    <row r="34" spans="1:47">
      <c r="A34">
        <v>17</v>
      </c>
      <c r="B34" t="s">
        <v>2154</v>
      </c>
      <c r="M34">
        <f t="shared" si="13"/>
        <v>10</v>
      </c>
      <c r="N34">
        <f t="shared" si="14"/>
        <v>10</v>
      </c>
      <c r="O34">
        <f t="shared" si="15"/>
        <v>15</v>
      </c>
      <c r="P34">
        <f t="shared" si="16"/>
        <v>20</v>
      </c>
      <c r="Q34">
        <f t="shared" si="17"/>
        <v>17</v>
      </c>
      <c r="R34" s="79" t="str">
        <f t="shared" si="18"/>
        <v>-</v>
      </c>
      <c r="S34" t="s">
        <v>2167</v>
      </c>
      <c r="T34" s="79" t="str">
        <f t="shared" si="19"/>
        <v>-</v>
      </c>
      <c r="U34" s="79" t="str">
        <f t="shared" si="20"/>
        <v>-</v>
      </c>
      <c r="Y34" s="408"/>
      <c r="Z34" s="407" t="s">
        <v>2248</v>
      </c>
      <c r="AA34" s="407" t="s">
        <v>2080</v>
      </c>
      <c r="AB34" s="407" t="s">
        <v>2249</v>
      </c>
      <c r="AC34" s="407" t="s">
        <v>7</v>
      </c>
      <c r="AD34" s="407" t="s">
        <v>2217</v>
      </c>
      <c r="AE34" s="407" t="s">
        <v>2212</v>
      </c>
      <c r="AF34" s="407" t="s">
        <v>2220</v>
      </c>
      <c r="AG34" s="407" t="s">
        <v>2222</v>
      </c>
      <c r="AH34" s="407" t="s">
        <v>2250</v>
      </c>
    </row>
    <row r="35" spans="1:47">
      <c r="A35">
        <v>17</v>
      </c>
      <c r="B35" t="s">
        <v>2120</v>
      </c>
      <c r="M35">
        <f t="shared" si="13"/>
        <v>10</v>
      </c>
      <c r="N35">
        <f t="shared" si="14"/>
        <v>10</v>
      </c>
      <c r="O35">
        <f t="shared" si="15"/>
        <v>15</v>
      </c>
      <c r="P35">
        <f t="shared" si="16"/>
        <v>20</v>
      </c>
      <c r="Q35">
        <f t="shared" si="17"/>
        <v>17</v>
      </c>
      <c r="R35" s="79" t="str">
        <f t="shared" si="18"/>
        <v>-</v>
      </c>
      <c r="S35" t="s">
        <v>2197</v>
      </c>
      <c r="T35" s="79" t="str">
        <f t="shared" si="19"/>
        <v>-</v>
      </c>
      <c r="U35" s="79" t="str">
        <f t="shared" si="20"/>
        <v>-</v>
      </c>
      <c r="Y35" s="408"/>
      <c r="Z35" s="407" t="s">
        <v>2248</v>
      </c>
      <c r="AA35" s="407" t="s">
        <v>2119</v>
      </c>
      <c r="AB35" s="407" t="s">
        <v>2249</v>
      </c>
      <c r="AC35" s="407" t="s">
        <v>7</v>
      </c>
      <c r="AD35" s="407" t="s">
        <v>2220</v>
      </c>
      <c r="AE35" s="407" t="s">
        <v>2210</v>
      </c>
      <c r="AF35" s="407" t="s">
        <v>2218</v>
      </c>
      <c r="AG35" s="407" t="s">
        <v>2222</v>
      </c>
      <c r="AH35" s="407" t="s">
        <v>2250</v>
      </c>
    </row>
    <row r="36" spans="1:47">
      <c r="A36">
        <v>19</v>
      </c>
      <c r="B36" t="s">
        <v>2074</v>
      </c>
      <c r="M36">
        <f t="shared" si="13"/>
        <v>10</v>
      </c>
      <c r="N36">
        <f t="shared" si="14"/>
        <v>10</v>
      </c>
      <c r="O36">
        <f t="shared" si="15"/>
        <v>15</v>
      </c>
      <c r="P36">
        <f t="shared" si="16"/>
        <v>20</v>
      </c>
      <c r="Q36">
        <f t="shared" si="17"/>
        <v>19</v>
      </c>
      <c r="R36" s="79"/>
      <c r="S36" t="s">
        <v>2112</v>
      </c>
      <c r="T36" s="79" t="str">
        <f t="shared" si="19"/>
        <v>-</v>
      </c>
      <c r="U36" s="79" t="str">
        <f t="shared" si="20"/>
        <v>-</v>
      </c>
      <c r="Y36" s="408"/>
      <c r="Z36" s="407" t="s">
        <v>2251</v>
      </c>
      <c r="AA36" s="407" t="s">
        <v>2185</v>
      </c>
      <c r="AB36" s="407" t="s">
        <v>2252</v>
      </c>
      <c r="AC36" s="407" t="s">
        <v>7</v>
      </c>
      <c r="AD36" s="407" t="s">
        <v>2213</v>
      </c>
      <c r="AE36" s="407" t="s">
        <v>2220</v>
      </c>
      <c r="AF36" s="407" t="s">
        <v>2220</v>
      </c>
      <c r="AG36" s="407" t="s">
        <v>2217</v>
      </c>
      <c r="AH36" s="407" t="s">
        <v>2253</v>
      </c>
      <c r="AU36" s="304"/>
    </row>
    <row r="37" spans="1:47">
      <c r="A37">
        <v>19</v>
      </c>
      <c r="B37" t="s">
        <v>2150</v>
      </c>
      <c r="M37">
        <f t="shared" si="13"/>
        <v>10</v>
      </c>
      <c r="N37">
        <f t="shared" si="14"/>
        <v>10</v>
      </c>
      <c r="O37">
        <f t="shared" si="15"/>
        <v>15</v>
      </c>
      <c r="P37">
        <f t="shared" si="16"/>
        <v>20</v>
      </c>
      <c r="Q37">
        <f t="shared" si="17"/>
        <v>19</v>
      </c>
      <c r="R37" s="79"/>
      <c r="S37" t="s">
        <v>2109</v>
      </c>
      <c r="T37" s="79" t="str">
        <f t="shared" si="19"/>
        <v>-</v>
      </c>
      <c r="U37" s="79" t="str">
        <f t="shared" si="20"/>
        <v>-</v>
      </c>
      <c r="Y37" s="408"/>
      <c r="Z37" s="407" t="s">
        <v>2251</v>
      </c>
      <c r="AA37" s="407" t="s">
        <v>2180</v>
      </c>
      <c r="AB37" s="407" t="s">
        <v>2252</v>
      </c>
      <c r="AC37" s="407" t="s">
        <v>7</v>
      </c>
      <c r="AD37" s="407" t="s">
        <v>2222</v>
      </c>
      <c r="AE37" s="407" t="s">
        <v>2213</v>
      </c>
      <c r="AF37" s="407" t="s">
        <v>2213</v>
      </c>
      <c r="AG37" s="407" t="s">
        <v>2222</v>
      </c>
      <c r="AH37" s="407" t="s">
        <v>2253</v>
      </c>
      <c r="AU37" s="304"/>
    </row>
    <row r="38" spans="1:47">
      <c r="A38">
        <v>21</v>
      </c>
      <c r="B38" t="s">
        <v>2136</v>
      </c>
      <c r="M38">
        <f t="shared" si="13"/>
        <v>10</v>
      </c>
      <c r="N38">
        <f t="shared" si="14"/>
        <v>10</v>
      </c>
      <c r="O38">
        <f t="shared" si="15"/>
        <v>15</v>
      </c>
      <c r="P38">
        <f t="shared" si="16"/>
        <v>20</v>
      </c>
      <c r="Q38">
        <f t="shared" si="17"/>
        <v>21</v>
      </c>
      <c r="R38" s="79"/>
      <c r="T38" s="79"/>
      <c r="U38" s="79"/>
      <c r="Y38" s="408"/>
      <c r="Z38" s="407" t="s">
        <v>2254</v>
      </c>
      <c r="AA38" s="407" t="s">
        <v>2192</v>
      </c>
      <c r="AB38" s="407" t="s">
        <v>2255</v>
      </c>
      <c r="AC38" s="407" t="s">
        <v>7</v>
      </c>
      <c r="AD38" s="407" t="s">
        <v>2213</v>
      </c>
      <c r="AE38" s="407" t="s">
        <v>2212</v>
      </c>
      <c r="AF38" s="407" t="s">
        <v>2256</v>
      </c>
      <c r="AG38" s="407" t="s">
        <v>2213</v>
      </c>
      <c r="AH38" s="407" t="s">
        <v>2257</v>
      </c>
      <c r="AU38" s="304"/>
    </row>
    <row r="39" spans="1:47" ht="18.75">
      <c r="A39">
        <v>21</v>
      </c>
      <c r="B39" t="s">
        <v>2083</v>
      </c>
      <c r="M39">
        <f t="shared" si="13"/>
        <v>10</v>
      </c>
      <c r="N39">
        <f t="shared" si="14"/>
        <v>10</v>
      </c>
      <c r="O39">
        <f t="shared" si="15"/>
        <v>15</v>
      </c>
      <c r="P39">
        <f t="shared" si="16"/>
        <v>20</v>
      </c>
      <c r="Q39">
        <f t="shared" si="17"/>
        <v>21</v>
      </c>
      <c r="R39" s="79" t="str">
        <f t="shared" ref="R39:R49" si="21">IF(ISERROR(VLOOKUP(S39,AT:AV,2,FALSE)),"-",VLOOKUP(S39,AT:AV,2,FALSE))</f>
        <v>-</v>
      </c>
      <c r="S39" s="391" t="s">
        <v>8</v>
      </c>
      <c r="T39" s="79"/>
      <c r="U39" s="79"/>
      <c r="Y39" s="408"/>
      <c r="Z39" s="407" t="s">
        <v>2254</v>
      </c>
      <c r="AA39" s="407" t="s">
        <v>2258</v>
      </c>
      <c r="AB39" s="407" t="s">
        <v>2255</v>
      </c>
      <c r="AC39" s="407" t="s">
        <v>7</v>
      </c>
      <c r="AD39" s="407" t="s">
        <v>2212</v>
      </c>
      <c r="AE39" s="407" t="s">
        <v>2212</v>
      </c>
      <c r="AF39" s="407" t="s">
        <v>2259</v>
      </c>
      <c r="AG39" s="407" t="s">
        <v>2220</v>
      </c>
      <c r="AH39" s="407" t="s">
        <v>2257</v>
      </c>
    </row>
    <row r="40" spans="1:47">
      <c r="A40">
        <v>23</v>
      </c>
      <c r="B40" t="s">
        <v>2080</v>
      </c>
      <c r="M40">
        <f t="shared" si="13"/>
        <v>10</v>
      </c>
      <c r="N40">
        <f t="shared" si="14"/>
        <v>10</v>
      </c>
      <c r="O40">
        <f t="shared" si="15"/>
        <v>15</v>
      </c>
      <c r="P40">
        <f t="shared" si="16"/>
        <v>20</v>
      </c>
      <c r="Q40">
        <f t="shared" si="17"/>
        <v>23</v>
      </c>
      <c r="R40" s="79" t="str">
        <f t="shared" si="21"/>
        <v>-</v>
      </c>
      <c r="S40" t="s">
        <v>2074</v>
      </c>
      <c r="T40" s="79">
        <f t="shared" ref="T40:T51" si="22">IF(ISERROR(VLOOKUP(S40,B:Q,TIER1,FALSE)),"-",VLOOKUP(S40,B:Q,TIER1,FALSE))</f>
        <v>15</v>
      </c>
      <c r="U40" s="79">
        <f t="shared" ref="U40:U51" si="23">IF(ISERROR(VLOOKUP(S40,B:Q,16,FALSE)),"-",VLOOKUP(S40,B:Q,16,FALSE))</f>
        <v>19</v>
      </c>
      <c r="Y40" s="408"/>
      <c r="Z40" s="407" t="s">
        <v>2260</v>
      </c>
      <c r="AA40" s="407" t="s">
        <v>2070</v>
      </c>
      <c r="AB40" s="407" t="s">
        <v>2261</v>
      </c>
      <c r="AC40" s="407" t="s">
        <v>7</v>
      </c>
      <c r="AD40" s="407" t="s">
        <v>2218</v>
      </c>
      <c r="AE40" s="407" t="s">
        <v>2218</v>
      </c>
      <c r="AF40" s="407" t="s">
        <v>2262</v>
      </c>
      <c r="AG40" s="407" t="s">
        <v>2218</v>
      </c>
      <c r="AH40" s="407" t="s">
        <v>2263</v>
      </c>
    </row>
    <row r="41" spans="1:47" ht="15.75">
      <c r="A41">
        <v>23</v>
      </c>
      <c r="B41" t="s">
        <v>2119</v>
      </c>
      <c r="M41">
        <f t="shared" si="13"/>
        <v>10</v>
      </c>
      <c r="N41">
        <f t="shared" si="14"/>
        <v>10</v>
      </c>
      <c r="O41">
        <f t="shared" si="15"/>
        <v>15</v>
      </c>
      <c r="P41">
        <f t="shared" si="16"/>
        <v>20</v>
      </c>
      <c r="Q41">
        <f t="shared" si="17"/>
        <v>23</v>
      </c>
      <c r="R41" s="79" t="str">
        <f t="shared" si="21"/>
        <v>-</v>
      </c>
      <c r="S41" s="390" t="s">
        <v>2075</v>
      </c>
      <c r="T41" s="79" t="str">
        <f t="shared" si="22"/>
        <v>-</v>
      </c>
      <c r="U41" s="79" t="str">
        <f t="shared" si="23"/>
        <v>-</v>
      </c>
      <c r="Y41" s="408"/>
      <c r="Z41" s="407" t="s">
        <v>2264</v>
      </c>
      <c r="AA41" s="407" t="s">
        <v>2133</v>
      </c>
      <c r="AB41" s="407" t="s">
        <v>2265</v>
      </c>
      <c r="AC41" s="407" t="s">
        <v>7</v>
      </c>
      <c r="AD41" s="407" t="s">
        <v>2266</v>
      </c>
      <c r="AE41" s="407" t="s">
        <v>2227</v>
      </c>
      <c r="AF41" s="407" t="s">
        <v>2256</v>
      </c>
      <c r="AG41" s="407" t="s">
        <v>2220</v>
      </c>
      <c r="AH41" s="407" t="s">
        <v>2267</v>
      </c>
    </row>
    <row r="42" spans="1:47">
      <c r="A42">
        <v>25</v>
      </c>
      <c r="B42" t="s">
        <v>2185</v>
      </c>
      <c r="M42">
        <f t="shared" si="13"/>
        <v>10</v>
      </c>
      <c r="N42">
        <f t="shared" si="14"/>
        <v>10</v>
      </c>
      <c r="O42">
        <f t="shared" si="15"/>
        <v>15</v>
      </c>
      <c r="P42">
        <f t="shared" si="16"/>
        <v>20</v>
      </c>
      <c r="Q42">
        <f t="shared" si="17"/>
        <v>25</v>
      </c>
      <c r="R42" s="79" t="str">
        <f t="shared" si="21"/>
        <v>-</v>
      </c>
      <c r="S42" t="s">
        <v>2119</v>
      </c>
      <c r="T42" s="79">
        <f t="shared" si="22"/>
        <v>15</v>
      </c>
      <c r="U42" s="79">
        <f t="shared" si="23"/>
        <v>23</v>
      </c>
      <c r="Y42" s="408"/>
    </row>
    <row r="43" spans="1:47">
      <c r="A43">
        <v>25</v>
      </c>
      <c r="B43" t="s">
        <v>2180</v>
      </c>
      <c r="M43">
        <f t="shared" ref="M43:M70" si="24">IF(A43&gt;50,0,IF(A43&gt;25,5,IF(A43&gt;15,10,IF(A43&gt;10,15,IF(A43&gt;5,20,IF(A43&gt;4,25,IF(A43&gt;3,30,IF(A43&gt;2,35,IF(A43&gt;1,45,IF(A43=1,75,0))))))))))</f>
        <v>10</v>
      </c>
      <c r="N43">
        <f t="shared" ref="N43:N70" si="25">IF(A43&gt;50,0,IF(A43&gt;25,5,IF(A43&gt;15,10,IF(A43&gt;10,20,IF(A43&gt;5,30,IF(A43&gt;4,40,IF(A43&gt;3,50,IF(A43&gt;2,60,IF(A43&gt;1,70,IF(A43=1,125,0))))))))))</f>
        <v>10</v>
      </c>
      <c r="O43">
        <f t="shared" ref="O43:O70" si="26">IF(A43&gt;50,0,IF(A43&gt;25,10,IF(A43&gt;15,15,IF(A43&gt;10,30,IF(A43&gt;5,40,IF(A43&gt;4,50,IF(A43&gt;3,60,IF(A43&gt;2,70,IF(A43&gt;1,90,IF(A43=1,150,0))))))))))</f>
        <v>15</v>
      </c>
      <c r="P43">
        <f t="shared" ref="P43:P70" si="27">IF(A43&gt;50,0,IF(A43&gt;25,15,IF(A43&gt;15,20,IF(A43&gt;10,40,IF(A43&gt;5,60,IF(A43&gt;4,80,IF(A43&gt;3,100,IF(A43&gt;2,120,IF(A43&gt;1,140,IF(A43=1,250,0))))))))))</f>
        <v>20</v>
      </c>
      <c r="Q43">
        <f t="shared" ref="Q43:Q70" si="28">A43</f>
        <v>25</v>
      </c>
      <c r="R43" s="79" t="str">
        <f t="shared" si="21"/>
        <v>-</v>
      </c>
      <c r="S43" t="s">
        <v>2128</v>
      </c>
      <c r="T43" s="79" t="str">
        <f t="shared" si="22"/>
        <v>-</v>
      </c>
      <c r="U43" s="79" t="str">
        <f t="shared" si="23"/>
        <v>-</v>
      </c>
      <c r="Y43" s="408"/>
    </row>
    <row r="44" spans="1:47">
      <c r="A44">
        <v>27</v>
      </c>
      <c r="B44" t="s">
        <v>2192</v>
      </c>
      <c r="M44">
        <f t="shared" si="24"/>
        <v>5</v>
      </c>
      <c r="N44">
        <f t="shared" si="25"/>
        <v>5</v>
      </c>
      <c r="O44">
        <f t="shared" si="26"/>
        <v>10</v>
      </c>
      <c r="P44">
        <f t="shared" si="27"/>
        <v>15</v>
      </c>
      <c r="Q44">
        <f t="shared" si="28"/>
        <v>27</v>
      </c>
      <c r="R44" s="79" t="str">
        <f t="shared" si="21"/>
        <v>-</v>
      </c>
      <c r="S44" t="s">
        <v>2133</v>
      </c>
      <c r="T44" s="79">
        <f t="shared" si="22"/>
        <v>10</v>
      </c>
      <c r="U44" s="79">
        <f t="shared" si="23"/>
        <v>30</v>
      </c>
      <c r="Y44" s="408"/>
    </row>
    <row r="45" spans="1:47">
      <c r="A45">
        <v>27</v>
      </c>
      <c r="B45" t="s">
        <v>2258</v>
      </c>
      <c r="M45">
        <f t="shared" si="24"/>
        <v>5</v>
      </c>
      <c r="N45">
        <f t="shared" si="25"/>
        <v>5</v>
      </c>
      <c r="O45">
        <f t="shared" si="26"/>
        <v>10</v>
      </c>
      <c r="P45">
        <f t="shared" si="27"/>
        <v>15</v>
      </c>
      <c r="Q45">
        <f t="shared" si="28"/>
        <v>27</v>
      </c>
      <c r="R45" s="79" t="str">
        <f t="shared" si="21"/>
        <v>-</v>
      </c>
      <c r="S45" t="s">
        <v>2147</v>
      </c>
      <c r="T45" s="79">
        <f t="shared" si="22"/>
        <v>30</v>
      </c>
      <c r="U45" s="79">
        <f t="shared" si="23"/>
        <v>13</v>
      </c>
      <c r="Y45" s="408"/>
    </row>
    <row r="46" spans="1:47">
      <c r="A46">
        <v>29</v>
      </c>
      <c r="B46" t="s">
        <v>2070</v>
      </c>
      <c r="M46">
        <f t="shared" si="24"/>
        <v>5</v>
      </c>
      <c r="N46">
        <f t="shared" si="25"/>
        <v>5</v>
      </c>
      <c r="O46">
        <f t="shared" si="26"/>
        <v>10</v>
      </c>
      <c r="P46">
        <f t="shared" si="27"/>
        <v>15</v>
      </c>
      <c r="Q46">
        <f t="shared" si="28"/>
        <v>29</v>
      </c>
      <c r="R46" s="79" t="str">
        <f t="shared" si="21"/>
        <v>-</v>
      </c>
      <c r="S46" t="s">
        <v>2152</v>
      </c>
      <c r="T46" s="79" t="str">
        <f t="shared" si="22"/>
        <v>-</v>
      </c>
      <c r="U46" s="79" t="str">
        <f t="shared" si="23"/>
        <v>-</v>
      </c>
      <c r="Y46" s="408"/>
    </row>
    <row r="47" spans="1:47">
      <c r="A47">
        <v>30</v>
      </c>
      <c r="B47" t="s">
        <v>2133</v>
      </c>
      <c r="M47">
        <f t="shared" si="24"/>
        <v>5</v>
      </c>
      <c r="N47">
        <f t="shared" si="25"/>
        <v>5</v>
      </c>
      <c r="O47">
        <f t="shared" si="26"/>
        <v>10</v>
      </c>
      <c r="P47">
        <f t="shared" si="27"/>
        <v>15</v>
      </c>
      <c r="Q47">
        <f t="shared" si="28"/>
        <v>30</v>
      </c>
      <c r="R47" s="79" t="str">
        <f t="shared" si="21"/>
        <v>-</v>
      </c>
      <c r="S47" t="s">
        <v>2166</v>
      </c>
      <c r="T47" s="79" t="str">
        <f t="shared" si="22"/>
        <v>-</v>
      </c>
      <c r="U47" s="79" t="str">
        <f t="shared" si="23"/>
        <v>-</v>
      </c>
      <c r="Y47" s="408"/>
    </row>
    <row r="48" spans="1:47">
      <c r="A48"/>
      <c r="M48">
        <f t="shared" si="24"/>
        <v>0</v>
      </c>
      <c r="N48">
        <f t="shared" si="25"/>
        <v>0</v>
      </c>
      <c r="O48">
        <f t="shared" si="26"/>
        <v>0</v>
      </c>
      <c r="P48">
        <f t="shared" si="27"/>
        <v>0</v>
      </c>
      <c r="Q48">
        <f t="shared" si="28"/>
        <v>0</v>
      </c>
      <c r="R48" s="79" t="str">
        <f t="shared" si="21"/>
        <v>-</v>
      </c>
      <c r="S48" t="s">
        <v>2171</v>
      </c>
      <c r="T48" s="79" t="str">
        <f t="shared" si="22"/>
        <v>-</v>
      </c>
      <c r="U48" s="79" t="str">
        <f t="shared" si="23"/>
        <v>-</v>
      </c>
      <c r="Y48" s="408"/>
    </row>
    <row r="49" spans="1:47">
      <c r="A49"/>
      <c r="M49">
        <f t="shared" si="24"/>
        <v>0</v>
      </c>
      <c r="N49">
        <f t="shared" si="25"/>
        <v>0</v>
      </c>
      <c r="O49">
        <f t="shared" si="26"/>
        <v>0</v>
      </c>
      <c r="P49">
        <f t="shared" si="27"/>
        <v>0</v>
      </c>
      <c r="Q49">
        <f t="shared" si="28"/>
        <v>0</v>
      </c>
      <c r="R49" s="79" t="str">
        <f t="shared" si="21"/>
        <v>-</v>
      </c>
      <c r="S49" t="s">
        <v>2185</v>
      </c>
      <c r="T49" s="79">
        <f t="shared" si="22"/>
        <v>15</v>
      </c>
      <c r="U49" s="79">
        <f t="shared" si="23"/>
        <v>25</v>
      </c>
      <c r="Y49" s="408"/>
    </row>
    <row r="50" spans="1:47">
      <c r="A50"/>
      <c r="M50">
        <f t="shared" si="24"/>
        <v>0</v>
      </c>
      <c r="N50">
        <f t="shared" si="25"/>
        <v>0</v>
      </c>
      <c r="O50">
        <f t="shared" si="26"/>
        <v>0</v>
      </c>
      <c r="P50">
        <f t="shared" si="27"/>
        <v>0</v>
      </c>
      <c r="Q50">
        <f t="shared" si="28"/>
        <v>0</v>
      </c>
      <c r="R50" s="79"/>
      <c r="S50" t="s">
        <v>102</v>
      </c>
      <c r="T50" s="79" t="str">
        <f t="shared" si="22"/>
        <v>-</v>
      </c>
      <c r="U50" s="79" t="str">
        <f t="shared" si="23"/>
        <v>-</v>
      </c>
      <c r="Y50" s="408"/>
      <c r="AU50" s="304"/>
    </row>
    <row r="51" spans="1:47">
      <c r="A51"/>
      <c r="M51">
        <f t="shared" si="24"/>
        <v>0</v>
      </c>
      <c r="N51">
        <f t="shared" si="25"/>
        <v>0</v>
      </c>
      <c r="O51">
        <f t="shared" si="26"/>
        <v>0</v>
      </c>
      <c r="P51">
        <f t="shared" si="27"/>
        <v>0</v>
      </c>
      <c r="Q51">
        <f t="shared" si="28"/>
        <v>0</v>
      </c>
      <c r="R51" s="79"/>
      <c r="S51" t="s">
        <v>2108</v>
      </c>
      <c r="T51" s="79" t="str">
        <f t="shared" si="22"/>
        <v>-</v>
      </c>
      <c r="U51" s="79" t="str">
        <f t="shared" si="23"/>
        <v>-</v>
      </c>
      <c r="Y51" s="408"/>
      <c r="AU51" s="304"/>
    </row>
    <row r="52" spans="1:47">
      <c r="A52"/>
      <c r="M52">
        <f t="shared" si="24"/>
        <v>0</v>
      </c>
      <c r="N52">
        <f t="shared" si="25"/>
        <v>0</v>
      </c>
      <c r="O52">
        <f t="shared" si="26"/>
        <v>0</v>
      </c>
      <c r="P52">
        <f t="shared" si="27"/>
        <v>0</v>
      </c>
      <c r="Q52">
        <f t="shared" si="28"/>
        <v>0</v>
      </c>
      <c r="R52" s="79"/>
      <c r="T52" s="79"/>
      <c r="U52" s="79"/>
      <c r="Y52" s="408"/>
      <c r="AU52" s="304"/>
    </row>
    <row r="53" spans="1:47" ht="18.75">
      <c r="A53"/>
      <c r="M53">
        <f t="shared" si="24"/>
        <v>0</v>
      </c>
      <c r="N53">
        <f t="shared" si="25"/>
        <v>0</v>
      </c>
      <c r="O53">
        <f t="shared" si="26"/>
        <v>0</v>
      </c>
      <c r="P53">
        <f t="shared" si="27"/>
        <v>0</v>
      </c>
      <c r="Q53">
        <f t="shared" si="28"/>
        <v>0</v>
      </c>
      <c r="R53" s="79" t="str">
        <f t="shared" ref="R53:R61" si="29">IF(ISERROR(VLOOKUP(S53,AT:AV,2,FALSE)),"-",VLOOKUP(S53,AT:AV,2,FALSE))</f>
        <v>-</v>
      </c>
      <c r="S53" s="391" t="s">
        <v>11</v>
      </c>
      <c r="T53" s="79"/>
      <c r="U53" s="79"/>
      <c r="Y53" s="408"/>
    </row>
    <row r="54" spans="1:47" ht="15.75">
      <c r="A54"/>
      <c r="M54">
        <f t="shared" si="24"/>
        <v>0</v>
      </c>
      <c r="N54">
        <f t="shared" si="25"/>
        <v>0</v>
      </c>
      <c r="O54">
        <f t="shared" si="26"/>
        <v>0</v>
      </c>
      <c r="P54">
        <f t="shared" si="27"/>
        <v>0</v>
      </c>
      <c r="Q54">
        <f t="shared" si="28"/>
        <v>0</v>
      </c>
      <c r="R54" s="79" t="str">
        <f t="shared" si="29"/>
        <v>-</v>
      </c>
      <c r="S54" s="390" t="s">
        <v>2080</v>
      </c>
      <c r="T54" s="79">
        <f t="shared" ref="T54:T66" si="30">IF(ISERROR(VLOOKUP(S54,B:Q,TIER1,FALSE)),"-",VLOOKUP(S54,B:Q,TIER1,FALSE))</f>
        <v>15</v>
      </c>
      <c r="U54" s="79">
        <f t="shared" ref="U54:U66" si="31">IF(ISERROR(VLOOKUP(S54,B:Q,16,FALSE)),"-",VLOOKUP(S54,B:Q,16,FALSE))</f>
        <v>23</v>
      </c>
      <c r="Y54" s="408"/>
    </row>
    <row r="55" spans="1:47">
      <c r="A55"/>
      <c r="M55">
        <f t="shared" si="24"/>
        <v>0</v>
      </c>
      <c r="N55">
        <f t="shared" si="25"/>
        <v>0</v>
      </c>
      <c r="O55">
        <f t="shared" si="26"/>
        <v>0</v>
      </c>
      <c r="P55">
        <f t="shared" si="27"/>
        <v>0</v>
      </c>
      <c r="Q55">
        <f t="shared" si="28"/>
        <v>0</v>
      </c>
      <c r="R55" s="79" t="str">
        <f t="shared" si="29"/>
        <v>-</v>
      </c>
      <c r="S55" t="s">
        <v>2081</v>
      </c>
      <c r="T55" s="79" t="str">
        <f t="shared" si="30"/>
        <v>-</v>
      </c>
      <c r="U55" s="79" t="str">
        <f t="shared" si="31"/>
        <v>-</v>
      </c>
      <c r="Y55" s="408"/>
    </row>
    <row r="56" spans="1:47">
      <c r="A56"/>
      <c r="M56">
        <f t="shared" si="24"/>
        <v>0</v>
      </c>
      <c r="N56">
        <f t="shared" si="25"/>
        <v>0</v>
      </c>
      <c r="O56">
        <f t="shared" si="26"/>
        <v>0</v>
      </c>
      <c r="P56">
        <f t="shared" si="27"/>
        <v>0</v>
      </c>
      <c r="Q56">
        <f t="shared" si="28"/>
        <v>0</v>
      </c>
      <c r="R56" s="79" t="str">
        <f t="shared" si="29"/>
        <v>-</v>
      </c>
      <c r="S56" t="s">
        <v>2118</v>
      </c>
      <c r="T56" s="79">
        <f t="shared" si="30"/>
        <v>30</v>
      </c>
      <c r="U56" s="79">
        <f t="shared" si="31"/>
        <v>13</v>
      </c>
      <c r="Y56" s="408"/>
    </row>
    <row r="57" spans="1:47">
      <c r="A57"/>
      <c r="M57">
        <f t="shared" si="24"/>
        <v>0</v>
      </c>
      <c r="N57">
        <f t="shared" si="25"/>
        <v>0</v>
      </c>
      <c r="O57">
        <f t="shared" si="26"/>
        <v>0</v>
      </c>
      <c r="P57">
        <f t="shared" si="27"/>
        <v>0</v>
      </c>
      <c r="Q57">
        <f t="shared" si="28"/>
        <v>0</v>
      </c>
      <c r="R57" s="79" t="str">
        <f t="shared" si="29"/>
        <v>-</v>
      </c>
      <c r="S57" t="s">
        <v>2127</v>
      </c>
      <c r="T57" s="79" t="str">
        <f t="shared" si="30"/>
        <v>-</v>
      </c>
      <c r="U57" s="79" t="str">
        <f t="shared" si="31"/>
        <v>-</v>
      </c>
      <c r="Y57" s="408"/>
    </row>
    <row r="58" spans="1:47">
      <c r="A58"/>
      <c r="M58">
        <f t="shared" si="24"/>
        <v>0</v>
      </c>
      <c r="N58">
        <f t="shared" si="25"/>
        <v>0</v>
      </c>
      <c r="O58">
        <f t="shared" si="26"/>
        <v>0</v>
      </c>
      <c r="P58">
        <f t="shared" si="27"/>
        <v>0</v>
      </c>
      <c r="Q58">
        <f t="shared" si="28"/>
        <v>0</v>
      </c>
      <c r="R58" s="79" t="str">
        <f t="shared" si="29"/>
        <v>-</v>
      </c>
      <c r="S58" t="s">
        <v>2134</v>
      </c>
      <c r="T58" s="79" t="str">
        <f t="shared" si="30"/>
        <v>-</v>
      </c>
      <c r="U58" s="79" t="str">
        <f t="shared" si="31"/>
        <v>-</v>
      </c>
      <c r="Y58" s="408"/>
    </row>
    <row r="59" spans="1:47">
      <c r="A59"/>
      <c r="M59">
        <f t="shared" si="24"/>
        <v>0</v>
      </c>
      <c r="N59">
        <f t="shared" si="25"/>
        <v>0</v>
      </c>
      <c r="O59">
        <f t="shared" si="26"/>
        <v>0</v>
      </c>
      <c r="P59">
        <f t="shared" si="27"/>
        <v>0</v>
      </c>
      <c r="Q59">
        <f t="shared" si="28"/>
        <v>0</v>
      </c>
      <c r="R59" s="79" t="str">
        <f t="shared" si="29"/>
        <v>-</v>
      </c>
      <c r="S59" t="s">
        <v>2206</v>
      </c>
      <c r="T59" s="79">
        <f t="shared" si="30"/>
        <v>40</v>
      </c>
      <c r="U59" s="79">
        <f t="shared" si="31"/>
        <v>10</v>
      </c>
      <c r="Y59" s="408"/>
    </row>
    <row r="60" spans="1:47">
      <c r="A60"/>
      <c r="M60">
        <f t="shared" si="24"/>
        <v>0</v>
      </c>
      <c r="N60">
        <f t="shared" si="25"/>
        <v>0</v>
      </c>
      <c r="O60">
        <f t="shared" si="26"/>
        <v>0</v>
      </c>
      <c r="P60">
        <f t="shared" si="27"/>
        <v>0</v>
      </c>
      <c r="Q60">
        <f t="shared" si="28"/>
        <v>0</v>
      </c>
      <c r="R60" s="79" t="str">
        <f t="shared" si="29"/>
        <v>-</v>
      </c>
      <c r="S60" t="s">
        <v>2153</v>
      </c>
      <c r="T60" s="79" t="str">
        <f t="shared" si="30"/>
        <v>-</v>
      </c>
      <c r="U60" s="79" t="str">
        <f t="shared" si="31"/>
        <v>-</v>
      </c>
      <c r="Y60" s="408"/>
    </row>
    <row r="61" spans="1:47">
      <c r="A61"/>
      <c r="M61">
        <f t="shared" si="24"/>
        <v>0</v>
      </c>
      <c r="N61">
        <f t="shared" si="25"/>
        <v>0</v>
      </c>
      <c r="O61">
        <f t="shared" si="26"/>
        <v>0</v>
      </c>
      <c r="P61">
        <f t="shared" si="27"/>
        <v>0</v>
      </c>
      <c r="Q61">
        <f t="shared" si="28"/>
        <v>0</v>
      </c>
      <c r="R61" s="79" t="str">
        <f t="shared" si="29"/>
        <v>-</v>
      </c>
      <c r="S61" t="s">
        <v>2165</v>
      </c>
      <c r="T61" s="79" t="str">
        <f t="shared" si="30"/>
        <v>-</v>
      </c>
      <c r="U61" s="79" t="str">
        <f t="shared" si="31"/>
        <v>-</v>
      </c>
      <c r="Y61" s="408"/>
    </row>
    <row r="62" spans="1:47">
      <c r="A62"/>
      <c r="M62">
        <f t="shared" si="24"/>
        <v>0</v>
      </c>
      <c r="N62">
        <f t="shared" si="25"/>
        <v>0</v>
      </c>
      <c r="O62">
        <f t="shared" si="26"/>
        <v>0</v>
      </c>
      <c r="P62">
        <f t="shared" si="27"/>
        <v>0</v>
      </c>
      <c r="Q62">
        <f t="shared" si="28"/>
        <v>0</v>
      </c>
      <c r="R62" s="79"/>
      <c r="S62" t="s">
        <v>2172</v>
      </c>
      <c r="T62" s="79" t="str">
        <f t="shared" si="30"/>
        <v>-</v>
      </c>
      <c r="U62" s="79" t="str">
        <f t="shared" si="31"/>
        <v>-</v>
      </c>
      <c r="Y62" s="408"/>
      <c r="AU62" s="304"/>
    </row>
    <row r="63" spans="1:47">
      <c r="A63"/>
      <c r="M63">
        <f t="shared" si="24"/>
        <v>0</v>
      </c>
      <c r="N63">
        <f t="shared" si="25"/>
        <v>0</v>
      </c>
      <c r="O63">
        <f t="shared" si="26"/>
        <v>0</v>
      </c>
      <c r="P63">
        <f t="shared" si="27"/>
        <v>0</v>
      </c>
      <c r="Q63">
        <f t="shared" si="28"/>
        <v>0</v>
      </c>
      <c r="R63" s="79"/>
      <c r="S63" t="s">
        <v>2184</v>
      </c>
      <c r="T63" s="79" t="str">
        <f t="shared" si="30"/>
        <v>-</v>
      </c>
      <c r="U63" s="79" t="str">
        <f t="shared" si="31"/>
        <v>-</v>
      </c>
      <c r="Y63" s="408"/>
      <c r="AU63" s="304"/>
    </row>
    <row r="64" spans="1:47">
      <c r="A64"/>
      <c r="M64">
        <f t="shared" si="24"/>
        <v>0</v>
      </c>
      <c r="N64">
        <f t="shared" si="25"/>
        <v>0</v>
      </c>
      <c r="O64">
        <f t="shared" si="26"/>
        <v>0</v>
      </c>
      <c r="P64">
        <f t="shared" si="27"/>
        <v>0</v>
      </c>
      <c r="Q64">
        <f t="shared" si="28"/>
        <v>0</v>
      </c>
      <c r="R64" s="79"/>
      <c r="S64" t="s">
        <v>2082</v>
      </c>
      <c r="T64" s="79" t="str">
        <f t="shared" si="30"/>
        <v>-</v>
      </c>
      <c r="U64" s="79" t="str">
        <f t="shared" si="31"/>
        <v>-</v>
      </c>
      <c r="Y64" s="408"/>
      <c r="AU64" s="304"/>
    </row>
    <row r="65" spans="1:47">
      <c r="A65"/>
      <c r="M65">
        <f t="shared" si="24"/>
        <v>0</v>
      </c>
      <c r="N65">
        <f t="shared" si="25"/>
        <v>0</v>
      </c>
      <c r="O65">
        <f t="shared" si="26"/>
        <v>0</v>
      </c>
      <c r="P65">
        <f t="shared" si="27"/>
        <v>0</v>
      </c>
      <c r="Q65">
        <f t="shared" si="28"/>
        <v>0</v>
      </c>
      <c r="R65" s="79" t="str">
        <f t="shared" ref="R65:R72" si="32">IF(ISERROR(VLOOKUP(S65,AT:AV,2,FALSE)),"-",VLOOKUP(S65,AT:AV,2,FALSE))</f>
        <v>-</v>
      </c>
      <c r="S65" t="s">
        <v>2107</v>
      </c>
      <c r="T65" s="79" t="str">
        <f t="shared" si="30"/>
        <v>-</v>
      </c>
      <c r="U65" s="79" t="str">
        <f t="shared" si="31"/>
        <v>-</v>
      </c>
      <c r="Y65" s="408"/>
    </row>
    <row r="66" spans="1:47">
      <c r="A66"/>
      <c r="M66">
        <f t="shared" si="24"/>
        <v>0</v>
      </c>
      <c r="N66">
        <f t="shared" si="25"/>
        <v>0</v>
      </c>
      <c r="O66">
        <f t="shared" si="26"/>
        <v>0</v>
      </c>
      <c r="P66">
        <f t="shared" si="27"/>
        <v>0</v>
      </c>
      <c r="Q66">
        <f t="shared" si="28"/>
        <v>0</v>
      </c>
      <c r="R66" s="79" t="str">
        <f t="shared" si="32"/>
        <v>-</v>
      </c>
      <c r="T66" s="79" t="str">
        <f t="shared" si="30"/>
        <v>-</v>
      </c>
      <c r="U66" s="79" t="str">
        <f t="shared" si="31"/>
        <v>-</v>
      </c>
      <c r="Y66" s="408"/>
    </row>
    <row r="67" spans="1:47" ht="18.75">
      <c r="A67"/>
      <c r="M67">
        <f t="shared" si="24"/>
        <v>0</v>
      </c>
      <c r="N67">
        <f t="shared" si="25"/>
        <v>0</v>
      </c>
      <c r="O67">
        <f t="shared" si="26"/>
        <v>0</v>
      </c>
      <c r="P67">
        <f t="shared" si="27"/>
        <v>0</v>
      </c>
      <c r="Q67">
        <f t="shared" si="28"/>
        <v>0</v>
      </c>
      <c r="R67" s="79" t="str">
        <f t="shared" si="32"/>
        <v>-</v>
      </c>
      <c r="S67" s="391" t="s">
        <v>1968</v>
      </c>
      <c r="T67" s="79"/>
      <c r="U67" s="79"/>
      <c r="Y67" s="408"/>
    </row>
    <row r="68" spans="1:47">
      <c r="A68"/>
      <c r="M68">
        <f t="shared" si="24"/>
        <v>0</v>
      </c>
      <c r="N68">
        <f t="shared" si="25"/>
        <v>0</v>
      </c>
      <c r="O68">
        <f t="shared" si="26"/>
        <v>0</v>
      </c>
      <c r="P68">
        <f t="shared" si="27"/>
        <v>0</v>
      </c>
      <c r="Q68">
        <f t="shared" si="28"/>
        <v>0</v>
      </c>
      <c r="R68" s="79" t="str">
        <f t="shared" si="32"/>
        <v>-</v>
      </c>
      <c r="S68" t="s">
        <v>2083</v>
      </c>
      <c r="T68" s="79">
        <f t="shared" ref="T68:T80" si="33">IF(ISERROR(VLOOKUP(S68,B:Q,TIER1,FALSE)),"-",VLOOKUP(S68,B:Q,TIER1,FALSE))</f>
        <v>15</v>
      </c>
      <c r="U68" s="79">
        <f t="shared" ref="U68:U80" si="34">IF(ISERROR(VLOOKUP(S68,B:Q,16,FALSE)),"-",VLOOKUP(S68,B:Q,16,FALSE))</f>
        <v>21</v>
      </c>
      <c r="Y68" s="408"/>
    </row>
    <row r="69" spans="1:47">
      <c r="A69"/>
      <c r="M69">
        <f t="shared" si="24"/>
        <v>0</v>
      </c>
      <c r="N69">
        <f t="shared" si="25"/>
        <v>0</v>
      </c>
      <c r="O69">
        <f t="shared" si="26"/>
        <v>0</v>
      </c>
      <c r="P69">
        <f t="shared" si="27"/>
        <v>0</v>
      </c>
      <c r="Q69">
        <f t="shared" si="28"/>
        <v>0</v>
      </c>
      <c r="R69" s="79" t="str">
        <f t="shared" si="32"/>
        <v>-</v>
      </c>
      <c r="S69" t="s">
        <v>2188</v>
      </c>
      <c r="T69" s="79" t="str">
        <f t="shared" si="33"/>
        <v>-</v>
      </c>
      <c r="U69" s="79" t="str">
        <f t="shared" si="34"/>
        <v>-</v>
      </c>
      <c r="Y69" s="408"/>
    </row>
    <row r="70" spans="1:47">
      <c r="A70"/>
      <c r="M70">
        <f t="shared" si="24"/>
        <v>0</v>
      </c>
      <c r="N70">
        <f t="shared" si="25"/>
        <v>0</v>
      </c>
      <c r="O70">
        <f t="shared" si="26"/>
        <v>0</v>
      </c>
      <c r="P70">
        <f t="shared" si="27"/>
        <v>0</v>
      </c>
      <c r="Q70">
        <f t="shared" si="28"/>
        <v>0</v>
      </c>
      <c r="R70" s="79" t="str">
        <f t="shared" si="32"/>
        <v>-</v>
      </c>
      <c r="S70" t="s">
        <v>2117</v>
      </c>
      <c r="T70" s="79">
        <f t="shared" si="33"/>
        <v>60</v>
      </c>
      <c r="U70" s="79">
        <f t="shared" si="34"/>
        <v>4</v>
      </c>
      <c r="Y70" s="408"/>
    </row>
    <row r="71" spans="1:47">
      <c r="A71"/>
      <c r="M71">
        <f t="shared" ref="M71:M102" si="35">IF(A71&gt;50,0,IF(A71&gt;25,5,IF(A71&gt;15,10,IF(A71&gt;10,15,IF(A71&gt;5,20,IF(A71&gt;4,25,IF(A71&gt;3,30,IF(A71&gt;2,35,IF(A71&gt;1,45,IF(A71=1,75,0))))))))))</f>
        <v>0</v>
      </c>
      <c r="N71">
        <f t="shared" ref="N71:N102" si="36">IF(A71&gt;50,0,IF(A71&gt;25,5,IF(A71&gt;15,10,IF(A71&gt;10,20,IF(A71&gt;5,30,IF(A71&gt;4,40,IF(A71&gt;3,50,IF(A71&gt;2,60,IF(A71&gt;1,70,IF(A71=1,125,0))))))))))</f>
        <v>0</v>
      </c>
      <c r="O71">
        <f t="shared" ref="O71:O102" si="37">IF(A71&gt;50,0,IF(A71&gt;25,10,IF(A71&gt;15,15,IF(A71&gt;10,30,IF(A71&gt;5,40,IF(A71&gt;4,50,IF(A71&gt;3,60,IF(A71&gt;2,70,IF(A71&gt;1,90,IF(A71=1,150,0))))))))))</f>
        <v>0</v>
      </c>
      <c r="P71">
        <f t="shared" ref="P71:P102" si="38">IF(A71&gt;50,0,IF(A71&gt;25,15,IF(A71&gt;15,20,IF(A71&gt;10,40,IF(A71&gt;5,60,IF(A71&gt;4,80,IF(A71&gt;3,100,IF(A71&gt;2,120,IF(A71&gt;1,140,IF(A71=1,250,0))))))))))</f>
        <v>0</v>
      </c>
      <c r="Q71">
        <f t="shared" ref="Q71:Q102" si="39">A71</f>
        <v>0</v>
      </c>
      <c r="R71" s="79" t="str">
        <f t="shared" si="32"/>
        <v>-</v>
      </c>
      <c r="S71" t="s">
        <v>2126</v>
      </c>
      <c r="T71" s="79" t="str">
        <f t="shared" si="33"/>
        <v>-</v>
      </c>
      <c r="U71" s="79" t="str">
        <f t="shared" si="34"/>
        <v>-</v>
      </c>
      <c r="Y71" s="408"/>
    </row>
    <row r="72" spans="1:47">
      <c r="A72"/>
      <c r="M72">
        <f t="shared" si="35"/>
        <v>0</v>
      </c>
      <c r="N72">
        <f t="shared" si="36"/>
        <v>0</v>
      </c>
      <c r="O72">
        <f t="shared" si="37"/>
        <v>0</v>
      </c>
      <c r="P72">
        <f t="shared" si="38"/>
        <v>0</v>
      </c>
      <c r="Q72">
        <f t="shared" si="39"/>
        <v>0</v>
      </c>
      <c r="R72" s="79" t="str">
        <f t="shared" si="32"/>
        <v>-</v>
      </c>
      <c r="S72" t="s">
        <v>2135</v>
      </c>
      <c r="T72" s="79" t="str">
        <f t="shared" si="33"/>
        <v>-</v>
      </c>
      <c r="U72" s="79" t="str">
        <f t="shared" si="34"/>
        <v>-</v>
      </c>
      <c r="Y72" s="408"/>
    </row>
    <row r="73" spans="1:47">
      <c r="A73"/>
      <c r="M73">
        <f t="shared" si="35"/>
        <v>0</v>
      </c>
      <c r="N73">
        <f t="shared" si="36"/>
        <v>0</v>
      </c>
      <c r="O73">
        <f t="shared" si="37"/>
        <v>0</v>
      </c>
      <c r="P73">
        <f t="shared" si="38"/>
        <v>0</v>
      </c>
      <c r="Q73">
        <f t="shared" si="39"/>
        <v>0</v>
      </c>
      <c r="R73" s="79"/>
      <c r="S73" t="s">
        <v>2198</v>
      </c>
      <c r="T73" s="79" t="str">
        <f t="shared" si="33"/>
        <v>-</v>
      </c>
      <c r="U73" s="79" t="str">
        <f t="shared" si="34"/>
        <v>-</v>
      </c>
      <c r="Y73" s="408"/>
      <c r="AU73" s="304"/>
    </row>
    <row r="74" spans="1:47">
      <c r="A74"/>
      <c r="M74">
        <f t="shared" si="35"/>
        <v>0</v>
      </c>
      <c r="N74">
        <f t="shared" si="36"/>
        <v>0</v>
      </c>
      <c r="O74">
        <f t="shared" si="37"/>
        <v>0</v>
      </c>
      <c r="P74">
        <f t="shared" si="38"/>
        <v>0</v>
      </c>
      <c r="Q74">
        <f t="shared" si="39"/>
        <v>0</v>
      </c>
      <c r="R74" s="79"/>
      <c r="S74" t="s">
        <v>2154</v>
      </c>
      <c r="T74" s="79">
        <f t="shared" si="33"/>
        <v>15</v>
      </c>
      <c r="U74" s="79">
        <f t="shared" si="34"/>
        <v>17</v>
      </c>
      <c r="Y74" s="408"/>
      <c r="AU74" s="304"/>
    </row>
    <row r="75" spans="1:47">
      <c r="A75"/>
      <c r="M75">
        <f t="shared" si="35"/>
        <v>0</v>
      </c>
      <c r="N75">
        <f t="shared" si="36"/>
        <v>0</v>
      </c>
      <c r="O75">
        <f t="shared" si="37"/>
        <v>0</v>
      </c>
      <c r="P75">
        <f t="shared" si="38"/>
        <v>0</v>
      </c>
      <c r="Q75">
        <f t="shared" si="39"/>
        <v>0</v>
      </c>
      <c r="R75" s="79"/>
      <c r="S75" t="s">
        <v>2164</v>
      </c>
      <c r="T75" s="79" t="str">
        <f t="shared" si="33"/>
        <v>-</v>
      </c>
      <c r="U75" s="79" t="str">
        <f t="shared" si="34"/>
        <v>-</v>
      </c>
      <c r="Y75" s="408"/>
      <c r="AU75" s="304"/>
    </row>
    <row r="76" spans="1:47">
      <c r="A76"/>
      <c r="M76">
        <f t="shared" si="35"/>
        <v>0</v>
      </c>
      <c r="N76">
        <f t="shared" si="36"/>
        <v>0</v>
      </c>
      <c r="O76">
        <f t="shared" si="37"/>
        <v>0</v>
      </c>
      <c r="P76">
        <f t="shared" si="38"/>
        <v>0</v>
      </c>
      <c r="Q76">
        <f t="shared" si="39"/>
        <v>0</v>
      </c>
      <c r="R76" s="79" t="str">
        <f t="shared" ref="R76:R85" si="40">IF(ISERROR(VLOOKUP(S76,AT:AV,2,FALSE)),"-",VLOOKUP(S76,AT:AV,2,FALSE))</f>
        <v>-</v>
      </c>
      <c r="S76" t="s">
        <v>2201</v>
      </c>
      <c r="T76" s="79" t="str">
        <f t="shared" si="33"/>
        <v>-</v>
      </c>
      <c r="U76" s="79" t="str">
        <f t="shared" si="34"/>
        <v>-</v>
      </c>
      <c r="Y76" s="408"/>
    </row>
    <row r="77" spans="1:47">
      <c r="A77"/>
      <c r="M77">
        <f t="shared" si="35"/>
        <v>0</v>
      </c>
      <c r="N77">
        <f t="shared" si="36"/>
        <v>0</v>
      </c>
      <c r="O77">
        <f t="shared" si="37"/>
        <v>0</v>
      </c>
      <c r="P77">
        <f t="shared" si="38"/>
        <v>0</v>
      </c>
      <c r="Q77">
        <f t="shared" si="39"/>
        <v>0</v>
      </c>
      <c r="R77" s="79" t="str">
        <f t="shared" si="40"/>
        <v>-</v>
      </c>
      <c r="S77" t="s">
        <v>2183</v>
      </c>
      <c r="T77" s="79" t="str">
        <f t="shared" si="33"/>
        <v>-</v>
      </c>
      <c r="U77" s="79" t="str">
        <f t="shared" si="34"/>
        <v>-</v>
      </c>
      <c r="Y77" s="408"/>
    </row>
    <row r="78" spans="1:47">
      <c r="A78"/>
      <c r="M78">
        <f t="shared" si="35"/>
        <v>0</v>
      </c>
      <c r="N78">
        <f t="shared" si="36"/>
        <v>0</v>
      </c>
      <c r="O78">
        <f t="shared" si="37"/>
        <v>0</v>
      </c>
      <c r="P78">
        <f t="shared" si="38"/>
        <v>0</v>
      </c>
      <c r="Q78">
        <f t="shared" si="39"/>
        <v>0</v>
      </c>
      <c r="R78" s="79" t="str">
        <f t="shared" si="40"/>
        <v>-</v>
      </c>
      <c r="S78" t="s">
        <v>2084</v>
      </c>
      <c r="T78" s="79" t="str">
        <f t="shared" si="33"/>
        <v>-</v>
      </c>
      <c r="U78" s="79" t="str">
        <f t="shared" si="34"/>
        <v>-</v>
      </c>
      <c r="Y78" s="408"/>
    </row>
    <row r="79" spans="1:47">
      <c r="A79"/>
      <c r="M79">
        <f t="shared" si="35"/>
        <v>0</v>
      </c>
      <c r="N79">
        <f t="shared" si="36"/>
        <v>0</v>
      </c>
      <c r="O79">
        <f t="shared" si="37"/>
        <v>0</v>
      </c>
      <c r="P79">
        <f t="shared" si="38"/>
        <v>0</v>
      </c>
      <c r="Q79">
        <f t="shared" si="39"/>
        <v>0</v>
      </c>
      <c r="R79" s="79" t="str">
        <f t="shared" si="40"/>
        <v>-</v>
      </c>
      <c r="S79" t="s">
        <v>2106</v>
      </c>
      <c r="T79" s="79" t="str">
        <f t="shared" si="33"/>
        <v>-</v>
      </c>
      <c r="U79" s="79" t="str">
        <f t="shared" si="34"/>
        <v>-</v>
      </c>
      <c r="Y79" s="408"/>
    </row>
    <row r="80" spans="1:47">
      <c r="A80"/>
      <c r="M80">
        <f t="shared" si="35"/>
        <v>0</v>
      </c>
      <c r="N80">
        <f t="shared" si="36"/>
        <v>0</v>
      </c>
      <c r="O80">
        <f t="shared" si="37"/>
        <v>0</v>
      </c>
      <c r="P80">
        <f t="shared" si="38"/>
        <v>0</v>
      </c>
      <c r="Q80">
        <f t="shared" si="39"/>
        <v>0</v>
      </c>
      <c r="R80" s="79" t="str">
        <f t="shared" si="40"/>
        <v>-</v>
      </c>
      <c r="T80" s="79" t="str">
        <f t="shared" si="33"/>
        <v>-</v>
      </c>
      <c r="U80" s="79" t="str">
        <f t="shared" si="34"/>
        <v>-</v>
      </c>
      <c r="Y80" s="408"/>
    </row>
    <row r="81" spans="1:47" ht="18.75">
      <c r="A81"/>
      <c r="M81">
        <f t="shared" si="35"/>
        <v>0</v>
      </c>
      <c r="N81">
        <f t="shared" si="36"/>
        <v>0</v>
      </c>
      <c r="O81">
        <f t="shared" si="37"/>
        <v>0</v>
      </c>
      <c r="P81">
        <f t="shared" si="38"/>
        <v>0</v>
      </c>
      <c r="Q81">
        <f t="shared" si="39"/>
        <v>0</v>
      </c>
      <c r="R81" s="79" t="str">
        <f t="shared" si="40"/>
        <v>-</v>
      </c>
      <c r="S81" s="391" t="s">
        <v>14</v>
      </c>
      <c r="T81" s="79"/>
      <c r="U81" s="79"/>
      <c r="Y81" s="408"/>
    </row>
    <row r="82" spans="1:47">
      <c r="A82"/>
      <c r="M82">
        <f t="shared" si="35"/>
        <v>0</v>
      </c>
      <c r="N82">
        <f t="shared" si="36"/>
        <v>0</v>
      </c>
      <c r="O82">
        <f t="shared" si="37"/>
        <v>0</v>
      </c>
      <c r="P82">
        <f t="shared" si="38"/>
        <v>0</v>
      </c>
      <c r="Q82">
        <f t="shared" si="39"/>
        <v>0</v>
      </c>
      <c r="R82" s="79" t="str">
        <f t="shared" si="40"/>
        <v>-</v>
      </c>
      <c r="S82" t="s">
        <v>2069</v>
      </c>
      <c r="T82" s="79" t="str">
        <f t="shared" ref="T82:T94" si="41">IF(ISERROR(VLOOKUP(S82,B:Q,TIER1,FALSE)),"-",VLOOKUP(S82,B:Q,TIER1,FALSE))</f>
        <v>-</v>
      </c>
      <c r="U82" s="79" t="str">
        <f t="shared" ref="U82:U94" si="42">IF(ISERROR(VLOOKUP(S82,B:Q,16,FALSE)),"-",VLOOKUP(S82,B:Q,16,FALSE))</f>
        <v>-</v>
      </c>
      <c r="Y82" s="408"/>
    </row>
    <row r="83" spans="1:47">
      <c r="A83"/>
      <c r="M83">
        <f t="shared" si="35"/>
        <v>0</v>
      </c>
      <c r="N83">
        <f t="shared" si="36"/>
        <v>0</v>
      </c>
      <c r="O83">
        <f t="shared" si="37"/>
        <v>0</v>
      </c>
      <c r="P83">
        <f t="shared" si="38"/>
        <v>0</v>
      </c>
      <c r="Q83">
        <f t="shared" si="39"/>
        <v>0</v>
      </c>
      <c r="R83" s="79" t="str">
        <f t="shared" si="40"/>
        <v>-</v>
      </c>
      <c r="S83" t="s">
        <v>2070</v>
      </c>
      <c r="T83" s="79">
        <f t="shared" si="41"/>
        <v>10</v>
      </c>
      <c r="U83" s="79">
        <f t="shared" si="42"/>
        <v>29</v>
      </c>
      <c r="Y83" s="408"/>
    </row>
    <row r="84" spans="1:47">
      <c r="A84"/>
      <c r="M84">
        <f t="shared" si="35"/>
        <v>0</v>
      </c>
      <c r="N84">
        <f t="shared" si="36"/>
        <v>0</v>
      </c>
      <c r="O84">
        <f t="shared" si="37"/>
        <v>0</v>
      </c>
      <c r="P84">
        <f t="shared" si="38"/>
        <v>0</v>
      </c>
      <c r="Q84">
        <f t="shared" si="39"/>
        <v>0</v>
      </c>
      <c r="R84" s="79" t="str">
        <f t="shared" si="40"/>
        <v>-</v>
      </c>
      <c r="S84" t="s">
        <v>2116</v>
      </c>
      <c r="T84" s="79">
        <f t="shared" si="41"/>
        <v>40</v>
      </c>
      <c r="U84" s="79">
        <f t="shared" si="42"/>
        <v>7</v>
      </c>
      <c r="Y84" s="408"/>
    </row>
    <row r="85" spans="1:47">
      <c r="A85"/>
      <c r="M85">
        <f t="shared" si="35"/>
        <v>0</v>
      </c>
      <c r="N85">
        <f t="shared" si="36"/>
        <v>0</v>
      </c>
      <c r="O85">
        <f t="shared" si="37"/>
        <v>0</v>
      </c>
      <c r="P85">
        <f t="shared" si="38"/>
        <v>0</v>
      </c>
      <c r="Q85">
        <f t="shared" si="39"/>
        <v>0</v>
      </c>
      <c r="R85" s="79" t="str">
        <f t="shared" si="40"/>
        <v>-</v>
      </c>
      <c r="S85" t="s">
        <v>2136</v>
      </c>
      <c r="T85" s="79">
        <f t="shared" si="41"/>
        <v>15</v>
      </c>
      <c r="U85" s="79">
        <f t="shared" si="42"/>
        <v>21</v>
      </c>
      <c r="Y85" s="408"/>
    </row>
    <row r="86" spans="1:47">
      <c r="A86"/>
      <c r="M86">
        <f t="shared" si="35"/>
        <v>0</v>
      </c>
      <c r="N86">
        <f t="shared" si="36"/>
        <v>0</v>
      </c>
      <c r="O86">
        <f t="shared" si="37"/>
        <v>0</v>
      </c>
      <c r="P86">
        <f t="shared" si="38"/>
        <v>0</v>
      </c>
      <c r="Q86">
        <f t="shared" si="39"/>
        <v>0</v>
      </c>
      <c r="R86" s="79"/>
      <c r="S86" t="s">
        <v>2144</v>
      </c>
      <c r="T86" s="79" t="str">
        <f t="shared" si="41"/>
        <v>-</v>
      </c>
      <c r="U86" s="79" t="str">
        <f t="shared" si="42"/>
        <v>-</v>
      </c>
      <c r="Y86" s="408"/>
      <c r="AU86" s="304"/>
    </row>
    <row r="87" spans="1:47">
      <c r="A87"/>
      <c r="M87">
        <f t="shared" si="35"/>
        <v>0</v>
      </c>
      <c r="N87">
        <f t="shared" si="36"/>
        <v>0</v>
      </c>
      <c r="O87">
        <f t="shared" si="37"/>
        <v>0</v>
      </c>
      <c r="P87">
        <f t="shared" si="38"/>
        <v>0</v>
      </c>
      <c r="Q87">
        <f t="shared" si="39"/>
        <v>0</v>
      </c>
      <c r="R87" s="79"/>
      <c r="S87" t="s">
        <v>2155</v>
      </c>
      <c r="T87" s="79" t="str">
        <f t="shared" si="41"/>
        <v>-</v>
      </c>
      <c r="U87" s="79" t="str">
        <f t="shared" si="42"/>
        <v>-</v>
      </c>
      <c r="Y87" s="408"/>
      <c r="AU87" s="304"/>
    </row>
    <row r="88" spans="1:47">
      <c r="A88"/>
      <c r="M88">
        <f t="shared" si="35"/>
        <v>0</v>
      </c>
      <c r="N88">
        <f t="shared" si="36"/>
        <v>0</v>
      </c>
      <c r="O88">
        <f t="shared" si="37"/>
        <v>0</v>
      </c>
      <c r="P88">
        <f t="shared" si="38"/>
        <v>0</v>
      </c>
      <c r="Q88">
        <f t="shared" si="39"/>
        <v>0</v>
      </c>
      <c r="R88" s="79"/>
      <c r="S88" t="s">
        <v>2163</v>
      </c>
      <c r="T88" s="79" t="str">
        <f t="shared" si="41"/>
        <v>-</v>
      </c>
      <c r="U88" s="79" t="str">
        <f t="shared" si="42"/>
        <v>-</v>
      </c>
      <c r="Y88" s="408"/>
      <c r="AU88" s="304"/>
    </row>
    <row r="89" spans="1:47" ht="16.5" customHeight="1">
      <c r="A89"/>
      <c r="M89">
        <f t="shared" si="35"/>
        <v>0</v>
      </c>
      <c r="N89">
        <f t="shared" si="36"/>
        <v>0</v>
      </c>
      <c r="O89">
        <f t="shared" si="37"/>
        <v>0</v>
      </c>
      <c r="P89">
        <f t="shared" si="38"/>
        <v>0</v>
      </c>
      <c r="Q89">
        <f t="shared" si="39"/>
        <v>0</v>
      </c>
      <c r="R89" s="79" t="str">
        <f t="shared" ref="R89:R99" si="43">IF(ISERROR(VLOOKUP(S89,AT:AV,2,FALSE)),"-",VLOOKUP(S89,AT:AV,2,FALSE))</f>
        <v>-</v>
      </c>
      <c r="S89" t="s">
        <v>2174</v>
      </c>
      <c r="T89" s="79" t="str">
        <f t="shared" si="41"/>
        <v>-</v>
      </c>
      <c r="U89" s="79" t="str">
        <f t="shared" si="42"/>
        <v>-</v>
      </c>
      <c r="Y89" s="408"/>
    </row>
    <row r="90" spans="1:47">
      <c r="A90"/>
      <c r="M90">
        <f t="shared" si="35"/>
        <v>0</v>
      </c>
      <c r="N90">
        <f t="shared" si="36"/>
        <v>0</v>
      </c>
      <c r="O90">
        <f t="shared" si="37"/>
        <v>0</v>
      </c>
      <c r="P90">
        <f t="shared" si="38"/>
        <v>0</v>
      </c>
      <c r="Q90">
        <f t="shared" si="39"/>
        <v>0</v>
      </c>
      <c r="R90" s="79" t="str">
        <f t="shared" si="43"/>
        <v>-</v>
      </c>
      <c r="S90" t="s">
        <v>2182</v>
      </c>
      <c r="T90" s="79" t="str">
        <f t="shared" si="41"/>
        <v>-</v>
      </c>
      <c r="U90" s="79" t="str">
        <f t="shared" si="42"/>
        <v>-</v>
      </c>
      <c r="Y90" s="408"/>
    </row>
    <row r="91" spans="1:47">
      <c r="A91"/>
      <c r="M91">
        <f t="shared" si="35"/>
        <v>0</v>
      </c>
      <c r="N91">
        <f t="shared" si="36"/>
        <v>0</v>
      </c>
      <c r="O91">
        <f t="shared" si="37"/>
        <v>0</v>
      </c>
      <c r="P91">
        <f t="shared" si="38"/>
        <v>0</v>
      </c>
      <c r="Q91">
        <f t="shared" si="39"/>
        <v>0</v>
      </c>
      <c r="R91" s="79" t="str">
        <f t="shared" si="43"/>
        <v>-</v>
      </c>
      <c r="S91" t="s">
        <v>2186</v>
      </c>
      <c r="T91" s="79" t="str">
        <f t="shared" si="41"/>
        <v>-</v>
      </c>
      <c r="U91" s="79" t="str">
        <f t="shared" si="42"/>
        <v>-</v>
      </c>
      <c r="Y91" s="408"/>
    </row>
    <row r="92" spans="1:47">
      <c r="A92"/>
      <c r="M92">
        <f t="shared" si="35"/>
        <v>0</v>
      </c>
      <c r="N92">
        <f t="shared" si="36"/>
        <v>0</v>
      </c>
      <c r="O92">
        <f t="shared" si="37"/>
        <v>0</v>
      </c>
      <c r="P92">
        <f t="shared" si="38"/>
        <v>0</v>
      </c>
      <c r="Q92">
        <f t="shared" si="39"/>
        <v>0</v>
      </c>
      <c r="R92" s="79" t="str">
        <f t="shared" si="43"/>
        <v>-</v>
      </c>
      <c r="S92" t="s">
        <v>2071</v>
      </c>
      <c r="T92" s="79" t="str">
        <f t="shared" si="41"/>
        <v>-</v>
      </c>
      <c r="U92" s="79" t="str">
        <f t="shared" si="42"/>
        <v>-</v>
      </c>
      <c r="Y92" s="408"/>
    </row>
    <row r="93" spans="1:47">
      <c r="A93"/>
      <c r="M93">
        <f t="shared" si="35"/>
        <v>0</v>
      </c>
      <c r="N93">
        <f t="shared" si="36"/>
        <v>0</v>
      </c>
      <c r="O93">
        <f t="shared" si="37"/>
        <v>0</v>
      </c>
      <c r="P93">
        <f t="shared" si="38"/>
        <v>0</v>
      </c>
      <c r="Q93">
        <f t="shared" si="39"/>
        <v>0</v>
      </c>
      <c r="R93" s="79" t="str">
        <f t="shared" si="43"/>
        <v>-</v>
      </c>
      <c r="S93" t="s">
        <v>2105</v>
      </c>
      <c r="T93" s="79" t="str">
        <f t="shared" si="41"/>
        <v>-</v>
      </c>
      <c r="U93" s="79" t="str">
        <f t="shared" si="42"/>
        <v>-</v>
      </c>
      <c r="Y93" s="408"/>
    </row>
    <row r="94" spans="1:47">
      <c r="A94"/>
      <c r="M94">
        <f t="shared" si="35"/>
        <v>0</v>
      </c>
      <c r="N94">
        <f t="shared" si="36"/>
        <v>0</v>
      </c>
      <c r="O94">
        <f t="shared" si="37"/>
        <v>0</v>
      </c>
      <c r="P94">
        <f t="shared" si="38"/>
        <v>0</v>
      </c>
      <c r="Q94">
        <f t="shared" si="39"/>
        <v>0</v>
      </c>
      <c r="R94" s="79" t="str">
        <f t="shared" si="43"/>
        <v>-</v>
      </c>
      <c r="T94" s="79" t="str">
        <f t="shared" si="41"/>
        <v>-</v>
      </c>
      <c r="U94" s="79" t="str">
        <f t="shared" si="42"/>
        <v>-</v>
      </c>
      <c r="Y94" s="408"/>
    </row>
    <row r="95" spans="1:47" ht="18.75">
      <c r="A95"/>
      <c r="M95">
        <f t="shared" si="35"/>
        <v>0</v>
      </c>
      <c r="N95">
        <f t="shared" si="36"/>
        <v>0</v>
      </c>
      <c r="O95">
        <f t="shared" si="37"/>
        <v>0</v>
      </c>
      <c r="P95">
        <f t="shared" si="38"/>
        <v>0</v>
      </c>
      <c r="Q95">
        <f t="shared" si="39"/>
        <v>0</v>
      </c>
      <c r="R95" s="79" t="str">
        <f t="shared" si="43"/>
        <v>-</v>
      </c>
      <c r="S95" s="391" t="s">
        <v>10</v>
      </c>
      <c r="T95" s="79"/>
      <c r="U95" s="79"/>
      <c r="Y95" s="408"/>
    </row>
    <row r="96" spans="1:47">
      <c r="A96"/>
      <c r="M96">
        <f t="shared" si="35"/>
        <v>0</v>
      </c>
      <c r="N96">
        <f t="shared" si="36"/>
        <v>0</v>
      </c>
      <c r="O96">
        <f t="shared" si="37"/>
        <v>0</v>
      </c>
      <c r="P96">
        <f t="shared" si="38"/>
        <v>0</v>
      </c>
      <c r="Q96">
        <f t="shared" si="39"/>
        <v>0</v>
      </c>
      <c r="R96" s="79" t="str">
        <f t="shared" si="43"/>
        <v>-</v>
      </c>
      <c r="S96" t="s">
        <v>2066</v>
      </c>
      <c r="T96" s="79" t="str">
        <f t="shared" ref="T96:T108" si="44">IF(ISERROR(VLOOKUP(S96,B:Q,TIER1,FALSE)),"-",VLOOKUP(S96,B:Q,TIER1,FALSE))</f>
        <v>-</v>
      </c>
      <c r="U96" s="79" t="str">
        <f t="shared" ref="U96:U108" si="45">IF(ISERROR(VLOOKUP(S96,B:Q,16,FALSE)),"-",VLOOKUP(S96,B:Q,16,FALSE))</f>
        <v>-</v>
      </c>
      <c r="Y96" s="408"/>
    </row>
    <row r="97" spans="1:47">
      <c r="A97"/>
      <c r="M97">
        <f t="shared" si="35"/>
        <v>0</v>
      </c>
      <c r="N97">
        <f t="shared" si="36"/>
        <v>0</v>
      </c>
      <c r="O97">
        <f t="shared" si="37"/>
        <v>0</v>
      </c>
      <c r="P97">
        <f t="shared" si="38"/>
        <v>0</v>
      </c>
      <c r="Q97">
        <f t="shared" si="39"/>
        <v>0</v>
      </c>
      <c r="R97" s="79" t="str">
        <f t="shared" si="43"/>
        <v>-</v>
      </c>
      <c r="S97" t="s">
        <v>2067</v>
      </c>
      <c r="T97" s="79">
        <f t="shared" si="44"/>
        <v>30</v>
      </c>
      <c r="U97" s="79">
        <f t="shared" si="45"/>
        <v>12</v>
      </c>
      <c r="Y97" s="408"/>
    </row>
    <row r="98" spans="1:47">
      <c r="A98"/>
      <c r="M98">
        <f t="shared" si="35"/>
        <v>0</v>
      </c>
      <c r="N98">
        <f t="shared" si="36"/>
        <v>0</v>
      </c>
      <c r="O98">
        <f t="shared" si="37"/>
        <v>0</v>
      </c>
      <c r="P98">
        <f t="shared" si="38"/>
        <v>0</v>
      </c>
      <c r="Q98">
        <f t="shared" si="39"/>
        <v>0</v>
      </c>
      <c r="R98" s="79" t="str">
        <f t="shared" si="43"/>
        <v>-</v>
      </c>
      <c r="S98" t="s">
        <v>2115</v>
      </c>
      <c r="T98" s="79" t="str">
        <f t="shared" si="44"/>
        <v>-</v>
      </c>
      <c r="U98" s="79" t="str">
        <f t="shared" si="45"/>
        <v>-</v>
      </c>
      <c r="Y98" s="408"/>
    </row>
    <row r="99" spans="1:47" ht="14.25" customHeight="1">
      <c r="A99"/>
      <c r="M99">
        <f t="shared" si="35"/>
        <v>0</v>
      </c>
      <c r="N99">
        <f t="shared" si="36"/>
        <v>0</v>
      </c>
      <c r="O99">
        <f t="shared" si="37"/>
        <v>0</v>
      </c>
      <c r="P99">
        <f t="shared" si="38"/>
        <v>0</v>
      </c>
      <c r="Q99">
        <f t="shared" si="39"/>
        <v>0</v>
      </c>
      <c r="R99" s="79" t="str">
        <f t="shared" si="43"/>
        <v>-</v>
      </c>
      <c r="S99" t="s">
        <v>2124</v>
      </c>
      <c r="T99" s="79">
        <f t="shared" si="44"/>
        <v>60</v>
      </c>
      <c r="U99" s="79">
        <f t="shared" si="45"/>
        <v>4</v>
      </c>
      <c r="Y99" s="408"/>
    </row>
    <row r="100" spans="1:47" ht="14.25" customHeight="1">
      <c r="A100"/>
      <c r="M100">
        <f t="shared" si="35"/>
        <v>0</v>
      </c>
      <c r="N100">
        <f t="shared" si="36"/>
        <v>0</v>
      </c>
      <c r="O100">
        <f t="shared" si="37"/>
        <v>0</v>
      </c>
      <c r="P100">
        <f t="shared" si="38"/>
        <v>0</v>
      </c>
      <c r="Q100">
        <f t="shared" si="39"/>
        <v>0</v>
      </c>
      <c r="R100" s="79"/>
      <c r="S100" t="s">
        <v>2137</v>
      </c>
      <c r="T100" s="79" t="str">
        <f t="shared" si="44"/>
        <v>-</v>
      </c>
      <c r="U100" s="79" t="str">
        <f t="shared" si="45"/>
        <v>-</v>
      </c>
      <c r="Y100" s="408"/>
      <c r="AU100" s="304"/>
    </row>
    <row r="101" spans="1:47" ht="14.25" customHeight="1">
      <c r="A101"/>
      <c r="M101">
        <f t="shared" si="35"/>
        <v>0</v>
      </c>
      <c r="N101">
        <f t="shared" si="36"/>
        <v>0</v>
      </c>
      <c r="O101">
        <f t="shared" si="37"/>
        <v>0</v>
      </c>
      <c r="P101">
        <f t="shared" si="38"/>
        <v>0</v>
      </c>
      <c r="Q101">
        <f t="shared" si="39"/>
        <v>0</v>
      </c>
      <c r="R101" s="79"/>
      <c r="S101" t="s">
        <v>2143</v>
      </c>
      <c r="T101" s="79" t="str">
        <f t="shared" si="44"/>
        <v>-</v>
      </c>
      <c r="U101" s="79" t="str">
        <f t="shared" si="45"/>
        <v>-</v>
      </c>
      <c r="Y101" s="408"/>
      <c r="AU101" s="304"/>
    </row>
    <row r="102" spans="1:47" ht="14.25" customHeight="1">
      <c r="A102"/>
      <c r="M102">
        <f t="shared" si="35"/>
        <v>0</v>
      </c>
      <c r="N102">
        <f t="shared" si="36"/>
        <v>0</v>
      </c>
      <c r="O102">
        <f t="shared" si="37"/>
        <v>0</v>
      </c>
      <c r="P102">
        <f t="shared" si="38"/>
        <v>0</v>
      </c>
      <c r="Q102">
        <f t="shared" si="39"/>
        <v>0</v>
      </c>
      <c r="R102" s="79"/>
      <c r="S102" t="s">
        <v>2156</v>
      </c>
      <c r="T102" s="79" t="str">
        <f t="shared" si="44"/>
        <v>-</v>
      </c>
      <c r="U102" s="79" t="str">
        <f t="shared" si="45"/>
        <v>-</v>
      </c>
      <c r="Y102" s="408"/>
      <c r="AU102" s="304"/>
    </row>
    <row r="103" spans="1:47">
      <c r="A103"/>
      <c r="M103">
        <f t="shared" ref="M103:M142" si="46">IF(A103&gt;50,0,IF(A103&gt;25,5,IF(A103&gt;15,10,IF(A103&gt;10,15,IF(A103&gt;5,20,IF(A103&gt;4,25,IF(A103&gt;3,30,IF(A103&gt;2,35,IF(A103&gt;1,45,IF(A103=1,75,0))))))))))</f>
        <v>0</v>
      </c>
      <c r="N103">
        <f t="shared" ref="N103:N142" si="47">IF(A103&gt;50,0,IF(A103&gt;25,5,IF(A103&gt;15,10,IF(A103&gt;10,20,IF(A103&gt;5,30,IF(A103&gt;4,40,IF(A103&gt;3,50,IF(A103&gt;2,60,IF(A103&gt;1,70,IF(A103=1,125,0))))))))))</f>
        <v>0</v>
      </c>
      <c r="O103">
        <f t="shared" ref="O103:O142" si="48">IF(A103&gt;50,0,IF(A103&gt;25,10,IF(A103&gt;15,15,IF(A103&gt;10,30,IF(A103&gt;5,40,IF(A103&gt;4,50,IF(A103&gt;3,60,IF(A103&gt;2,70,IF(A103&gt;1,90,IF(A103=1,150,0))))))))))</f>
        <v>0</v>
      </c>
      <c r="P103">
        <f t="shared" ref="P103:P142" si="49">IF(A103&gt;50,0,IF(A103&gt;25,15,IF(A103&gt;15,20,IF(A103&gt;10,40,IF(A103&gt;5,60,IF(A103&gt;4,80,IF(A103&gt;3,100,IF(A103&gt;2,120,IF(A103&gt;1,140,IF(A103=1,250,0))))))))))</f>
        <v>0</v>
      </c>
      <c r="Q103">
        <f t="shared" ref="Q103:Q140" si="50">A103</f>
        <v>0</v>
      </c>
      <c r="R103" s="79" t="str">
        <f t="shared" ref="R103:R111" si="51">IF(ISERROR(VLOOKUP(S103,AT:AV,2,FALSE)),"-",VLOOKUP(S103,AT:AV,2,FALSE))</f>
        <v>-</v>
      </c>
      <c r="S103" t="s">
        <v>2162</v>
      </c>
      <c r="T103" s="79" t="str">
        <f t="shared" si="44"/>
        <v>-</v>
      </c>
      <c r="U103" s="79" t="str">
        <f t="shared" si="45"/>
        <v>-</v>
      </c>
      <c r="Y103" s="408"/>
    </row>
    <row r="104" spans="1:47">
      <c r="A104"/>
      <c r="M104">
        <f t="shared" si="46"/>
        <v>0</v>
      </c>
      <c r="N104">
        <f t="shared" si="47"/>
        <v>0</v>
      </c>
      <c r="O104">
        <f t="shared" si="48"/>
        <v>0</v>
      </c>
      <c r="P104">
        <f t="shared" si="49"/>
        <v>0</v>
      </c>
      <c r="Q104">
        <f t="shared" si="50"/>
        <v>0</v>
      </c>
      <c r="R104" s="79" t="str">
        <f t="shared" si="51"/>
        <v>-</v>
      </c>
      <c r="S104" t="s">
        <v>2175</v>
      </c>
      <c r="T104" s="79" t="str">
        <f t="shared" si="44"/>
        <v>-</v>
      </c>
      <c r="U104" s="79" t="str">
        <f t="shared" si="45"/>
        <v>-</v>
      </c>
      <c r="Y104" s="408"/>
    </row>
    <row r="105" spans="1:47">
      <c r="A105"/>
      <c r="M105">
        <f t="shared" si="46"/>
        <v>0</v>
      </c>
      <c r="N105">
        <f t="shared" si="47"/>
        <v>0</v>
      </c>
      <c r="O105">
        <f t="shared" si="48"/>
        <v>0</v>
      </c>
      <c r="P105">
        <f t="shared" si="49"/>
        <v>0</v>
      </c>
      <c r="Q105">
        <f t="shared" si="50"/>
        <v>0</v>
      </c>
      <c r="R105" s="79" t="str">
        <f t="shared" si="51"/>
        <v>-</v>
      </c>
      <c r="S105" t="s">
        <v>2181</v>
      </c>
      <c r="T105" s="79" t="str">
        <f t="shared" si="44"/>
        <v>-</v>
      </c>
      <c r="U105" s="79" t="str">
        <f t="shared" si="45"/>
        <v>-</v>
      </c>
      <c r="Y105" s="408"/>
    </row>
    <row r="106" spans="1:47">
      <c r="A106"/>
      <c r="M106">
        <f t="shared" si="46"/>
        <v>0</v>
      </c>
      <c r="N106">
        <f t="shared" si="47"/>
        <v>0</v>
      </c>
      <c r="O106">
        <f t="shared" si="48"/>
        <v>0</v>
      </c>
      <c r="P106">
        <f t="shared" si="49"/>
        <v>0</v>
      </c>
      <c r="Q106">
        <f t="shared" si="50"/>
        <v>0</v>
      </c>
      <c r="R106" s="79" t="str">
        <f t="shared" si="51"/>
        <v>-</v>
      </c>
      <c r="S106" t="s">
        <v>2068</v>
      </c>
      <c r="T106" s="79" t="str">
        <f t="shared" si="44"/>
        <v>-</v>
      </c>
      <c r="U106" s="79" t="str">
        <f t="shared" si="45"/>
        <v>-</v>
      </c>
      <c r="Y106" s="408"/>
    </row>
    <row r="107" spans="1:47">
      <c r="A107"/>
      <c r="M107">
        <f t="shared" si="46"/>
        <v>0</v>
      </c>
      <c r="N107">
        <f t="shared" si="47"/>
        <v>0</v>
      </c>
      <c r="O107">
        <f t="shared" si="48"/>
        <v>0</v>
      </c>
      <c r="P107">
        <f t="shared" si="49"/>
        <v>0</v>
      </c>
      <c r="Q107">
        <f t="shared" si="50"/>
        <v>0</v>
      </c>
      <c r="R107" s="79" t="str">
        <f t="shared" si="51"/>
        <v>-</v>
      </c>
      <c r="S107" t="s">
        <v>2104</v>
      </c>
      <c r="T107" s="79" t="str">
        <f t="shared" si="44"/>
        <v>-</v>
      </c>
      <c r="U107" s="79" t="str">
        <f t="shared" si="45"/>
        <v>-</v>
      </c>
      <c r="Y107" s="408"/>
    </row>
    <row r="108" spans="1:47" ht="15.75">
      <c r="A108"/>
      <c r="M108">
        <f t="shared" si="46"/>
        <v>0</v>
      </c>
      <c r="N108">
        <f t="shared" si="47"/>
        <v>0</v>
      </c>
      <c r="O108">
        <f t="shared" si="48"/>
        <v>0</v>
      </c>
      <c r="P108">
        <f t="shared" si="49"/>
        <v>0</v>
      </c>
      <c r="Q108">
        <f t="shared" si="50"/>
        <v>0</v>
      </c>
      <c r="R108" s="79" t="str">
        <f t="shared" si="51"/>
        <v>-</v>
      </c>
      <c r="S108" s="390"/>
      <c r="T108" s="79" t="str">
        <f t="shared" si="44"/>
        <v>-</v>
      </c>
      <c r="U108" s="79" t="str">
        <f t="shared" si="45"/>
        <v>-</v>
      </c>
      <c r="Y108" s="408"/>
    </row>
    <row r="109" spans="1:47" ht="18.75">
      <c r="A109"/>
      <c r="M109">
        <f t="shared" si="46"/>
        <v>0</v>
      </c>
      <c r="N109">
        <f t="shared" si="47"/>
        <v>0</v>
      </c>
      <c r="O109">
        <f t="shared" si="48"/>
        <v>0</v>
      </c>
      <c r="P109">
        <f t="shared" si="49"/>
        <v>0</v>
      </c>
      <c r="Q109">
        <f t="shared" si="50"/>
        <v>0</v>
      </c>
      <c r="R109" s="79" t="str">
        <f t="shared" si="51"/>
        <v>-</v>
      </c>
      <c r="S109" s="391" t="s">
        <v>12</v>
      </c>
      <c r="T109" s="79"/>
      <c r="U109" s="79"/>
      <c r="Y109" s="408"/>
    </row>
    <row r="110" spans="1:47">
      <c r="A110"/>
      <c r="M110">
        <f t="shared" si="46"/>
        <v>0</v>
      </c>
      <c r="N110">
        <f t="shared" si="47"/>
        <v>0</v>
      </c>
      <c r="O110">
        <f t="shared" si="48"/>
        <v>0</v>
      </c>
      <c r="P110">
        <f t="shared" si="49"/>
        <v>0</v>
      </c>
      <c r="Q110">
        <f t="shared" si="50"/>
        <v>0</v>
      </c>
      <c r="R110" s="79" t="str">
        <f t="shared" si="51"/>
        <v>-</v>
      </c>
      <c r="S110" t="s">
        <v>2076</v>
      </c>
      <c r="T110" s="79">
        <f t="shared" ref="T110:T122" si="52">IF(ISERROR(VLOOKUP(S110,B:Q,TIER1,FALSE)),"-",VLOOKUP(S110,B:Q,TIER1,FALSE))</f>
        <v>90</v>
      </c>
      <c r="U110" s="79">
        <f t="shared" ref="U110:U122" si="53">IF(ISERROR(VLOOKUP(S110,B:Q,16,FALSE)),"-",VLOOKUP(S110,B:Q,16,FALSE))</f>
        <v>2</v>
      </c>
      <c r="Y110" s="408"/>
    </row>
    <row r="111" spans="1:47">
      <c r="A111"/>
      <c r="M111">
        <f t="shared" si="46"/>
        <v>0</v>
      </c>
      <c r="N111">
        <f t="shared" si="47"/>
        <v>0</v>
      </c>
      <c r="O111">
        <f t="shared" si="48"/>
        <v>0</v>
      </c>
      <c r="P111">
        <f t="shared" si="49"/>
        <v>0</v>
      </c>
      <c r="Q111">
        <f t="shared" si="50"/>
        <v>0</v>
      </c>
      <c r="R111" s="79" t="str">
        <f t="shared" si="51"/>
        <v>-</v>
      </c>
      <c r="S111" t="s">
        <v>2077</v>
      </c>
      <c r="T111" s="79" t="str">
        <f t="shared" si="52"/>
        <v>-</v>
      </c>
      <c r="U111" s="79" t="str">
        <f t="shared" si="53"/>
        <v>-</v>
      </c>
      <c r="Y111" s="408"/>
    </row>
    <row r="112" spans="1:47">
      <c r="A112"/>
      <c r="M112">
        <f t="shared" si="46"/>
        <v>0</v>
      </c>
      <c r="N112">
        <f t="shared" si="47"/>
        <v>0</v>
      </c>
      <c r="O112">
        <f t="shared" si="48"/>
        <v>0</v>
      </c>
      <c r="P112">
        <f t="shared" si="49"/>
        <v>0</v>
      </c>
      <c r="Q112">
        <f t="shared" si="50"/>
        <v>0</v>
      </c>
      <c r="R112" s="79"/>
      <c r="S112" t="s">
        <v>2114</v>
      </c>
      <c r="T112" s="79" t="str">
        <f t="shared" si="52"/>
        <v>-</v>
      </c>
      <c r="U112" s="79" t="str">
        <f t="shared" si="53"/>
        <v>-</v>
      </c>
      <c r="Y112" s="408"/>
      <c r="AU112" s="304"/>
    </row>
    <row r="113" spans="1:47">
      <c r="A113"/>
      <c r="M113">
        <f t="shared" si="46"/>
        <v>0</v>
      </c>
      <c r="N113">
        <f t="shared" si="47"/>
        <v>0</v>
      </c>
      <c r="O113">
        <f t="shared" si="48"/>
        <v>0</v>
      </c>
      <c r="P113">
        <f t="shared" si="49"/>
        <v>0</v>
      </c>
      <c r="Q113">
        <f t="shared" si="50"/>
        <v>0</v>
      </c>
      <c r="R113" s="79"/>
      <c r="S113" t="s">
        <v>2123</v>
      </c>
      <c r="T113" s="79">
        <f t="shared" si="52"/>
        <v>30</v>
      </c>
      <c r="U113" s="79">
        <f t="shared" si="53"/>
        <v>13</v>
      </c>
      <c r="Y113" s="408"/>
      <c r="AU113" s="304"/>
    </row>
    <row r="114" spans="1:47">
      <c r="A114"/>
      <c r="M114">
        <f t="shared" si="46"/>
        <v>0</v>
      </c>
      <c r="N114">
        <f t="shared" si="47"/>
        <v>0</v>
      </c>
      <c r="O114">
        <f t="shared" si="48"/>
        <v>0</v>
      </c>
      <c r="P114">
        <f t="shared" si="49"/>
        <v>0</v>
      </c>
      <c r="Q114">
        <f t="shared" si="50"/>
        <v>0</v>
      </c>
      <c r="R114" s="79"/>
      <c r="S114" t="s">
        <v>2138</v>
      </c>
      <c r="T114" s="79" t="str">
        <f t="shared" si="52"/>
        <v>-</v>
      </c>
      <c r="U114" s="79" t="str">
        <f t="shared" si="53"/>
        <v>-</v>
      </c>
      <c r="Y114" s="408"/>
      <c r="AU114" s="304"/>
    </row>
    <row r="115" spans="1:47">
      <c r="A115"/>
      <c r="M115">
        <f t="shared" si="46"/>
        <v>0</v>
      </c>
      <c r="N115">
        <f t="shared" si="47"/>
        <v>0</v>
      </c>
      <c r="O115">
        <f t="shared" si="48"/>
        <v>0</v>
      </c>
      <c r="P115">
        <f t="shared" si="49"/>
        <v>0</v>
      </c>
      <c r="Q115">
        <f t="shared" si="50"/>
        <v>0</v>
      </c>
      <c r="R115" s="79" t="str">
        <f t="shared" ref="R115:R124" si="54">IF(ISERROR(VLOOKUP(S115,AT:AV,2,FALSE)),"-",VLOOKUP(S115,AT:AV,2,FALSE))</f>
        <v>-</v>
      </c>
      <c r="S115" t="s">
        <v>2142</v>
      </c>
      <c r="T115" s="79" t="str">
        <f t="shared" si="52"/>
        <v>-</v>
      </c>
      <c r="U115" s="79" t="str">
        <f t="shared" si="53"/>
        <v>-</v>
      </c>
      <c r="Y115" s="408"/>
    </row>
    <row r="116" spans="1:47">
      <c r="A116"/>
      <c r="M116">
        <f t="shared" si="46"/>
        <v>0</v>
      </c>
      <c r="N116">
        <f t="shared" si="47"/>
        <v>0</v>
      </c>
      <c r="O116">
        <f t="shared" si="48"/>
        <v>0</v>
      </c>
      <c r="P116">
        <f t="shared" si="49"/>
        <v>0</v>
      </c>
      <c r="Q116">
        <f t="shared" si="50"/>
        <v>0</v>
      </c>
      <c r="R116" s="79" t="str">
        <f t="shared" si="54"/>
        <v>-</v>
      </c>
      <c r="S116" t="s">
        <v>2199</v>
      </c>
      <c r="T116" s="79" t="str">
        <f t="shared" si="52"/>
        <v>-</v>
      </c>
      <c r="U116" s="79" t="str">
        <f t="shared" si="53"/>
        <v>-</v>
      </c>
      <c r="Y116" s="408"/>
    </row>
    <row r="117" spans="1:47">
      <c r="A117"/>
      <c r="M117">
        <f t="shared" si="46"/>
        <v>0</v>
      </c>
      <c r="N117">
        <f t="shared" si="47"/>
        <v>0</v>
      </c>
      <c r="O117">
        <f t="shared" si="48"/>
        <v>0</v>
      </c>
      <c r="P117">
        <f t="shared" si="49"/>
        <v>0</v>
      </c>
      <c r="Q117">
        <f t="shared" si="50"/>
        <v>0</v>
      </c>
      <c r="R117" s="79" t="str">
        <f t="shared" si="54"/>
        <v>-</v>
      </c>
      <c r="S117" t="s">
        <v>2161</v>
      </c>
      <c r="T117" s="79" t="str">
        <f t="shared" si="52"/>
        <v>-</v>
      </c>
      <c r="U117" s="79" t="str">
        <f t="shared" si="53"/>
        <v>-</v>
      </c>
      <c r="Y117" s="408"/>
    </row>
    <row r="118" spans="1:47">
      <c r="A118"/>
      <c r="M118">
        <f t="shared" si="46"/>
        <v>0</v>
      </c>
      <c r="N118">
        <f t="shared" si="47"/>
        <v>0</v>
      </c>
      <c r="O118">
        <f t="shared" si="48"/>
        <v>0</v>
      </c>
      <c r="P118">
        <f t="shared" si="49"/>
        <v>0</v>
      </c>
      <c r="Q118">
        <f t="shared" si="50"/>
        <v>0</v>
      </c>
      <c r="R118" s="79" t="str">
        <f t="shared" si="54"/>
        <v>-</v>
      </c>
      <c r="S118" t="s">
        <v>2176</v>
      </c>
      <c r="T118" s="79" t="str">
        <f t="shared" si="52"/>
        <v>-</v>
      </c>
      <c r="U118" s="79" t="str">
        <f t="shared" si="53"/>
        <v>-</v>
      </c>
      <c r="Y118" s="408"/>
    </row>
    <row r="119" spans="1:47">
      <c r="A119"/>
      <c r="M119">
        <f t="shared" si="46"/>
        <v>0</v>
      </c>
      <c r="N119">
        <f t="shared" si="47"/>
        <v>0</v>
      </c>
      <c r="O119">
        <f t="shared" si="48"/>
        <v>0</v>
      </c>
      <c r="P119">
        <f t="shared" si="49"/>
        <v>0</v>
      </c>
      <c r="Q119">
        <f t="shared" si="50"/>
        <v>0</v>
      </c>
      <c r="R119" s="79" t="str">
        <f t="shared" si="54"/>
        <v>-</v>
      </c>
      <c r="S119" t="s">
        <v>2191</v>
      </c>
      <c r="T119" s="79" t="str">
        <f t="shared" si="52"/>
        <v>-</v>
      </c>
      <c r="U119" s="79" t="str">
        <f t="shared" si="53"/>
        <v>-</v>
      </c>
      <c r="Y119" s="408"/>
    </row>
    <row r="120" spans="1:47">
      <c r="A120"/>
      <c r="M120">
        <f t="shared" si="46"/>
        <v>0</v>
      </c>
      <c r="N120">
        <f t="shared" si="47"/>
        <v>0</v>
      </c>
      <c r="O120">
        <f t="shared" si="48"/>
        <v>0</v>
      </c>
      <c r="P120">
        <f t="shared" si="49"/>
        <v>0</v>
      </c>
      <c r="Q120">
        <f t="shared" si="50"/>
        <v>0</v>
      </c>
      <c r="R120" s="79" t="str">
        <f t="shared" si="54"/>
        <v>-</v>
      </c>
      <c r="S120" t="s">
        <v>2111</v>
      </c>
      <c r="T120" s="79" t="str">
        <f t="shared" si="52"/>
        <v>-</v>
      </c>
      <c r="U120" s="79" t="str">
        <f t="shared" si="53"/>
        <v>-</v>
      </c>
      <c r="Y120" s="408"/>
    </row>
    <row r="121" spans="1:47" ht="15.75">
      <c r="A121"/>
      <c r="M121">
        <f t="shared" si="46"/>
        <v>0</v>
      </c>
      <c r="N121">
        <f t="shared" si="47"/>
        <v>0</v>
      </c>
      <c r="O121">
        <f t="shared" si="48"/>
        <v>0</v>
      </c>
      <c r="P121">
        <f t="shared" si="49"/>
        <v>0</v>
      </c>
      <c r="Q121">
        <f t="shared" si="50"/>
        <v>0</v>
      </c>
      <c r="R121" s="79" t="str">
        <f t="shared" si="54"/>
        <v>-</v>
      </c>
      <c r="S121" s="390" t="s">
        <v>2103</v>
      </c>
      <c r="T121" s="79" t="str">
        <f t="shared" si="52"/>
        <v>-</v>
      </c>
      <c r="U121" s="79" t="str">
        <f t="shared" si="53"/>
        <v>-</v>
      </c>
      <c r="Y121" s="408"/>
    </row>
    <row r="122" spans="1:47">
      <c r="A122"/>
      <c r="M122">
        <f t="shared" si="46"/>
        <v>0</v>
      </c>
      <c r="N122">
        <f t="shared" si="47"/>
        <v>0</v>
      </c>
      <c r="O122">
        <f t="shared" si="48"/>
        <v>0</v>
      </c>
      <c r="P122">
        <f t="shared" si="49"/>
        <v>0</v>
      </c>
      <c r="Q122">
        <f t="shared" si="50"/>
        <v>0</v>
      </c>
      <c r="R122" s="79" t="str">
        <f t="shared" si="54"/>
        <v>-</v>
      </c>
      <c r="T122" s="79" t="str">
        <f t="shared" si="52"/>
        <v>-</v>
      </c>
      <c r="U122" s="79" t="str">
        <f t="shared" si="53"/>
        <v>-</v>
      </c>
      <c r="Y122" s="408"/>
    </row>
    <row r="123" spans="1:47" ht="18.75">
      <c r="A123"/>
      <c r="M123">
        <f t="shared" si="46"/>
        <v>0</v>
      </c>
      <c r="N123">
        <f t="shared" si="47"/>
        <v>0</v>
      </c>
      <c r="O123">
        <f t="shared" si="48"/>
        <v>0</v>
      </c>
      <c r="P123">
        <f t="shared" si="49"/>
        <v>0</v>
      </c>
      <c r="Q123">
        <f t="shared" si="50"/>
        <v>0</v>
      </c>
      <c r="R123" s="79" t="str">
        <f t="shared" si="54"/>
        <v>-</v>
      </c>
      <c r="S123" s="391" t="s">
        <v>13</v>
      </c>
      <c r="T123" s="79"/>
      <c r="U123" s="79"/>
      <c r="Y123" s="408"/>
    </row>
    <row r="124" spans="1:47">
      <c r="A124"/>
      <c r="M124">
        <f t="shared" si="46"/>
        <v>0</v>
      </c>
      <c r="N124">
        <f t="shared" si="47"/>
        <v>0</v>
      </c>
      <c r="O124">
        <f t="shared" si="48"/>
        <v>0</v>
      </c>
      <c r="P124">
        <f t="shared" si="49"/>
        <v>0</v>
      </c>
      <c r="Q124">
        <f t="shared" si="50"/>
        <v>0</v>
      </c>
      <c r="R124" s="79" t="str">
        <f t="shared" si="54"/>
        <v>-</v>
      </c>
      <c r="S124" t="s">
        <v>2063</v>
      </c>
      <c r="T124" s="79">
        <f t="shared" ref="T124:T136" si="55">IF(ISERROR(VLOOKUP(S124,B:Q,TIER1,FALSE)),"-",VLOOKUP(S124,B:Q,TIER1,FALSE))</f>
        <v>40</v>
      </c>
      <c r="U124" s="79">
        <f t="shared" ref="U124:U136" si="56">IF(ISERROR(VLOOKUP(S124,B:Q,16,FALSE)),"-",VLOOKUP(S124,B:Q,16,FALSE))</f>
        <v>7</v>
      </c>
      <c r="Y124" s="408"/>
    </row>
    <row r="125" spans="1:47">
      <c r="A125"/>
      <c r="M125">
        <f t="shared" si="46"/>
        <v>0</v>
      </c>
      <c r="N125">
        <f t="shared" si="47"/>
        <v>0</v>
      </c>
      <c r="O125">
        <f t="shared" si="48"/>
        <v>0</v>
      </c>
      <c r="P125">
        <f t="shared" si="49"/>
        <v>0</v>
      </c>
      <c r="Q125">
        <f t="shared" si="50"/>
        <v>0</v>
      </c>
      <c r="R125" s="79"/>
      <c r="S125" t="s">
        <v>2064</v>
      </c>
      <c r="T125" s="79">
        <f t="shared" si="55"/>
        <v>150</v>
      </c>
      <c r="U125" s="79">
        <f t="shared" si="56"/>
        <v>1</v>
      </c>
      <c r="Y125" s="408"/>
      <c r="AU125" s="304"/>
    </row>
    <row r="126" spans="1:47">
      <c r="A126"/>
      <c r="M126">
        <f t="shared" si="46"/>
        <v>0</v>
      </c>
      <c r="N126">
        <f t="shared" si="47"/>
        <v>0</v>
      </c>
      <c r="O126">
        <f t="shared" si="48"/>
        <v>0</v>
      </c>
      <c r="P126">
        <f t="shared" si="49"/>
        <v>0</v>
      </c>
      <c r="Q126">
        <f t="shared" si="50"/>
        <v>0</v>
      </c>
      <c r="R126" s="79"/>
      <c r="S126" t="s">
        <v>2113</v>
      </c>
      <c r="T126" s="79">
        <f t="shared" si="55"/>
        <v>90</v>
      </c>
      <c r="U126" s="79">
        <f t="shared" si="56"/>
        <v>2</v>
      </c>
      <c r="Y126" s="408"/>
      <c r="AU126" s="304"/>
    </row>
    <row r="127" spans="1:47">
      <c r="A127"/>
      <c r="M127">
        <f t="shared" si="46"/>
        <v>0</v>
      </c>
      <c r="N127">
        <f t="shared" si="47"/>
        <v>0</v>
      </c>
      <c r="O127">
        <f t="shared" si="48"/>
        <v>0</v>
      </c>
      <c r="P127">
        <f t="shared" si="49"/>
        <v>0</v>
      </c>
      <c r="Q127">
        <f t="shared" si="50"/>
        <v>0</v>
      </c>
      <c r="R127" s="79"/>
      <c r="S127" t="s">
        <v>2122</v>
      </c>
      <c r="T127" s="79" t="str">
        <f t="shared" si="55"/>
        <v>-</v>
      </c>
      <c r="U127" s="79" t="str">
        <f t="shared" si="56"/>
        <v>-</v>
      </c>
      <c r="Y127" s="408"/>
      <c r="AU127" s="304"/>
    </row>
    <row r="128" spans="1:47">
      <c r="A128"/>
      <c r="M128">
        <f t="shared" si="46"/>
        <v>0</v>
      </c>
      <c r="N128">
        <f t="shared" si="47"/>
        <v>0</v>
      </c>
      <c r="O128">
        <f t="shared" si="48"/>
        <v>0</v>
      </c>
      <c r="P128">
        <f t="shared" si="49"/>
        <v>0</v>
      </c>
      <c r="Q128">
        <f t="shared" si="50"/>
        <v>0</v>
      </c>
      <c r="R128" s="79" t="str">
        <f t="shared" ref="R128:R137" si="57">IF(ISERROR(VLOOKUP(S128,AT:AV,2,FALSE)),"-",VLOOKUP(S128,AT:AV,2,FALSE))</f>
        <v>-</v>
      </c>
      <c r="S128" t="s">
        <v>2139</v>
      </c>
      <c r="T128" s="79" t="str">
        <f t="shared" si="55"/>
        <v>-</v>
      </c>
      <c r="U128" s="79" t="str">
        <f t="shared" si="56"/>
        <v>-</v>
      </c>
      <c r="Y128" s="408"/>
    </row>
    <row r="129" spans="1:47">
      <c r="A129"/>
      <c r="M129">
        <f t="shared" si="46"/>
        <v>0</v>
      </c>
      <c r="N129">
        <f t="shared" si="47"/>
        <v>0</v>
      </c>
      <c r="O129">
        <f t="shared" si="48"/>
        <v>0</v>
      </c>
      <c r="P129">
        <f t="shared" si="49"/>
        <v>0</v>
      </c>
      <c r="Q129">
        <f t="shared" si="50"/>
        <v>0</v>
      </c>
      <c r="R129" s="79" t="str">
        <f t="shared" si="57"/>
        <v>-</v>
      </c>
      <c r="S129" t="s">
        <v>2141</v>
      </c>
      <c r="T129" s="79" t="str">
        <f t="shared" si="55"/>
        <v>-</v>
      </c>
      <c r="U129" s="79" t="str">
        <f t="shared" si="56"/>
        <v>-</v>
      </c>
      <c r="Y129" s="408"/>
    </row>
    <row r="130" spans="1:47">
      <c r="A130"/>
      <c r="M130">
        <f t="shared" si="46"/>
        <v>0</v>
      </c>
      <c r="N130">
        <f t="shared" si="47"/>
        <v>0</v>
      </c>
      <c r="O130">
        <f t="shared" si="48"/>
        <v>0</v>
      </c>
      <c r="P130">
        <f t="shared" si="49"/>
        <v>0</v>
      </c>
      <c r="Q130">
        <f t="shared" si="50"/>
        <v>0</v>
      </c>
      <c r="R130" s="79" t="str">
        <f t="shared" si="57"/>
        <v>-</v>
      </c>
      <c r="S130" t="s">
        <v>2157</v>
      </c>
      <c r="T130" s="79" t="str">
        <f t="shared" si="55"/>
        <v>-</v>
      </c>
      <c r="U130" s="79" t="str">
        <f t="shared" si="56"/>
        <v>-</v>
      </c>
      <c r="Y130" s="408"/>
    </row>
    <row r="131" spans="1:47">
      <c r="A131"/>
      <c r="M131">
        <f t="shared" si="46"/>
        <v>0</v>
      </c>
      <c r="N131">
        <f t="shared" si="47"/>
        <v>0</v>
      </c>
      <c r="O131">
        <f t="shared" si="48"/>
        <v>0</v>
      </c>
      <c r="P131">
        <f t="shared" si="49"/>
        <v>0</v>
      </c>
      <c r="Q131">
        <f t="shared" si="50"/>
        <v>0</v>
      </c>
      <c r="R131" s="79" t="str">
        <f t="shared" si="57"/>
        <v>-</v>
      </c>
      <c r="S131" t="s">
        <v>2207</v>
      </c>
      <c r="T131" s="79" t="str">
        <f t="shared" si="55"/>
        <v>-</v>
      </c>
      <c r="U131" s="79" t="str">
        <f t="shared" si="56"/>
        <v>-</v>
      </c>
      <c r="Y131" s="408"/>
    </row>
    <row r="132" spans="1:47">
      <c r="A132"/>
      <c r="M132">
        <f t="shared" si="46"/>
        <v>0</v>
      </c>
      <c r="N132">
        <f t="shared" si="47"/>
        <v>0</v>
      </c>
      <c r="O132">
        <f t="shared" si="48"/>
        <v>0</v>
      </c>
      <c r="P132">
        <f t="shared" si="49"/>
        <v>0</v>
      </c>
      <c r="Q132">
        <f t="shared" si="50"/>
        <v>0</v>
      </c>
      <c r="R132" s="79" t="str">
        <f t="shared" si="57"/>
        <v>-</v>
      </c>
      <c r="S132" t="s">
        <v>2177</v>
      </c>
      <c r="T132" s="79" t="str">
        <f t="shared" si="55"/>
        <v>-</v>
      </c>
      <c r="U132" s="79" t="str">
        <f t="shared" si="56"/>
        <v>-</v>
      </c>
      <c r="Y132" s="408"/>
    </row>
    <row r="133" spans="1:47">
      <c r="A133"/>
      <c r="M133">
        <f t="shared" si="46"/>
        <v>0</v>
      </c>
      <c r="N133">
        <f t="shared" si="47"/>
        <v>0</v>
      </c>
      <c r="O133">
        <f t="shared" si="48"/>
        <v>0</v>
      </c>
      <c r="P133">
        <f t="shared" si="49"/>
        <v>0</v>
      </c>
      <c r="Q133">
        <f t="shared" si="50"/>
        <v>0</v>
      </c>
      <c r="R133" s="79" t="str">
        <f t="shared" si="57"/>
        <v>-</v>
      </c>
      <c r="S133" t="s">
        <v>2180</v>
      </c>
      <c r="T133" s="79">
        <f t="shared" si="55"/>
        <v>15</v>
      </c>
      <c r="U133" s="79">
        <f t="shared" si="56"/>
        <v>25</v>
      </c>
      <c r="Y133" s="408"/>
    </row>
    <row r="134" spans="1:47" ht="15.75">
      <c r="A134"/>
      <c r="M134">
        <f t="shared" si="46"/>
        <v>0</v>
      </c>
      <c r="N134">
        <f t="shared" si="47"/>
        <v>0</v>
      </c>
      <c r="O134">
        <f t="shared" si="48"/>
        <v>0</v>
      </c>
      <c r="P134">
        <f t="shared" si="49"/>
        <v>0</v>
      </c>
      <c r="Q134">
        <f t="shared" si="50"/>
        <v>0</v>
      </c>
      <c r="R134" s="79" t="str">
        <f t="shared" si="57"/>
        <v>-</v>
      </c>
      <c r="S134" s="390" t="s">
        <v>2065</v>
      </c>
      <c r="T134" s="79" t="str">
        <f t="shared" si="55"/>
        <v>-</v>
      </c>
      <c r="U134" s="79" t="str">
        <f t="shared" si="56"/>
        <v>-</v>
      </c>
      <c r="Y134" s="408"/>
    </row>
    <row r="135" spans="1:47">
      <c r="A135"/>
      <c r="M135">
        <f t="shared" si="46"/>
        <v>0</v>
      </c>
      <c r="N135">
        <f t="shared" si="47"/>
        <v>0</v>
      </c>
      <c r="O135">
        <f t="shared" si="48"/>
        <v>0</v>
      </c>
      <c r="P135">
        <f t="shared" si="49"/>
        <v>0</v>
      </c>
      <c r="Q135">
        <f t="shared" si="50"/>
        <v>0</v>
      </c>
      <c r="R135" s="79" t="str">
        <f t="shared" si="57"/>
        <v>-</v>
      </c>
      <c r="S135" t="s">
        <v>2102</v>
      </c>
      <c r="T135" s="79" t="str">
        <f t="shared" si="55"/>
        <v>-</v>
      </c>
      <c r="U135" s="79" t="str">
        <f t="shared" si="56"/>
        <v>-</v>
      </c>
      <c r="Y135" s="408"/>
    </row>
    <row r="136" spans="1:47">
      <c r="A136"/>
      <c r="M136">
        <f t="shared" si="46"/>
        <v>0</v>
      </c>
      <c r="N136">
        <f t="shared" si="47"/>
        <v>0</v>
      </c>
      <c r="O136">
        <f t="shared" si="48"/>
        <v>0</v>
      </c>
      <c r="P136">
        <f t="shared" si="49"/>
        <v>0</v>
      </c>
      <c r="Q136">
        <f t="shared" si="50"/>
        <v>0</v>
      </c>
      <c r="R136" s="79" t="str">
        <f t="shared" si="57"/>
        <v>-</v>
      </c>
      <c r="T136" s="79" t="str">
        <f t="shared" si="55"/>
        <v>-</v>
      </c>
      <c r="U136" s="79" t="str">
        <f t="shared" si="56"/>
        <v>-</v>
      </c>
      <c r="Y136" s="408"/>
    </row>
    <row r="137" spans="1:47" ht="18.75">
      <c r="A137"/>
      <c r="M137">
        <f t="shared" si="46"/>
        <v>0</v>
      </c>
      <c r="N137">
        <f t="shared" si="47"/>
        <v>0</v>
      </c>
      <c r="O137">
        <f t="shared" si="48"/>
        <v>0</v>
      </c>
      <c r="P137">
        <f t="shared" si="49"/>
        <v>0</v>
      </c>
      <c r="Q137">
        <f t="shared" si="50"/>
        <v>0</v>
      </c>
      <c r="R137" s="79" t="str">
        <f t="shared" si="57"/>
        <v>-</v>
      </c>
      <c r="S137" s="391" t="s">
        <v>9</v>
      </c>
      <c r="T137" s="79"/>
      <c r="U137" s="79"/>
      <c r="Y137" s="408"/>
    </row>
    <row r="138" spans="1:47">
      <c r="A138"/>
      <c r="M138">
        <f t="shared" si="46"/>
        <v>0</v>
      </c>
      <c r="N138">
        <f t="shared" si="47"/>
        <v>0</v>
      </c>
      <c r="O138">
        <f t="shared" si="48"/>
        <v>0</v>
      </c>
      <c r="P138">
        <f t="shared" si="49"/>
        <v>0</v>
      </c>
      <c r="Q138">
        <f t="shared" si="50"/>
        <v>0</v>
      </c>
      <c r="R138" s="79"/>
      <c r="S138" t="s">
        <v>2086</v>
      </c>
      <c r="T138" s="79" t="str">
        <f t="shared" ref="T138:T153" si="58">IF(ISERROR(VLOOKUP(S138,B:Q,TIER1,FALSE)),"-",VLOOKUP(S138,B:Q,TIER1,FALSE))</f>
        <v>-</v>
      </c>
      <c r="U138" s="79" t="str">
        <f t="shared" ref="U138:U153" si="59">IF(ISERROR(VLOOKUP(S138,B:Q,16,FALSE)),"-",VLOOKUP(S138,B:Q,16,FALSE))</f>
        <v>-</v>
      </c>
      <c r="Y138" s="408"/>
      <c r="AU138" s="304"/>
    </row>
    <row r="139" spans="1:47">
      <c r="A139"/>
      <c r="M139">
        <f t="shared" si="46"/>
        <v>0</v>
      </c>
      <c r="N139">
        <f t="shared" si="47"/>
        <v>0</v>
      </c>
      <c r="O139">
        <f t="shared" si="48"/>
        <v>0</v>
      </c>
      <c r="P139">
        <f t="shared" si="49"/>
        <v>0</v>
      </c>
      <c r="Q139">
        <f t="shared" si="50"/>
        <v>0</v>
      </c>
      <c r="R139" s="79"/>
      <c r="S139" t="s">
        <v>2192</v>
      </c>
      <c r="T139" s="79">
        <f t="shared" si="58"/>
        <v>10</v>
      </c>
      <c r="U139" s="79">
        <f t="shared" si="59"/>
        <v>27</v>
      </c>
      <c r="Y139" s="408"/>
      <c r="AU139" s="304"/>
    </row>
    <row r="140" spans="1:47">
      <c r="A140"/>
      <c r="M140">
        <f t="shared" si="46"/>
        <v>0</v>
      </c>
      <c r="N140">
        <f t="shared" si="47"/>
        <v>0</v>
      </c>
      <c r="O140">
        <f t="shared" si="48"/>
        <v>0</v>
      </c>
      <c r="P140">
        <f t="shared" si="49"/>
        <v>0</v>
      </c>
      <c r="Q140">
        <f t="shared" si="50"/>
        <v>0</v>
      </c>
      <c r="R140" s="79"/>
      <c r="S140" t="s">
        <v>230</v>
      </c>
      <c r="T140" s="79">
        <f t="shared" si="58"/>
        <v>30</v>
      </c>
      <c r="U140" s="79">
        <f t="shared" si="59"/>
        <v>13</v>
      </c>
      <c r="Y140" s="408"/>
      <c r="AU140" s="304"/>
    </row>
    <row r="141" spans="1:47">
      <c r="A141"/>
      <c r="M141">
        <f t="shared" si="46"/>
        <v>0</v>
      </c>
      <c r="N141">
        <f t="shared" si="47"/>
        <v>0</v>
      </c>
      <c r="O141">
        <f t="shared" si="48"/>
        <v>0</v>
      </c>
      <c r="P141">
        <f t="shared" si="49"/>
        <v>0</v>
      </c>
      <c r="Q141">
        <f t="shared" ref="Q141:Q204" si="60">A141</f>
        <v>0</v>
      </c>
      <c r="R141" s="79" t="str">
        <f>IF(ISERROR(VLOOKUP(S141,AT:AV,2,FALSE)),"-",VLOOKUP(S141,AT:AV,2,FALSE))</f>
        <v>-</v>
      </c>
      <c r="S141" t="s">
        <v>2121</v>
      </c>
      <c r="T141" s="79" t="str">
        <f t="shared" si="58"/>
        <v>-</v>
      </c>
      <c r="U141" s="79" t="str">
        <f t="shared" si="59"/>
        <v>-</v>
      </c>
      <c r="Y141" s="408"/>
    </row>
    <row r="142" spans="1:47">
      <c r="A142"/>
      <c r="M142">
        <f t="shared" si="46"/>
        <v>0</v>
      </c>
      <c r="N142">
        <f t="shared" si="47"/>
        <v>0</v>
      </c>
      <c r="O142">
        <f t="shared" si="48"/>
        <v>0</v>
      </c>
      <c r="P142">
        <f t="shared" si="49"/>
        <v>0</v>
      </c>
      <c r="Q142">
        <f t="shared" si="60"/>
        <v>0</v>
      </c>
      <c r="R142" s="79" t="str">
        <f>IF(ISERROR(VLOOKUP(S142,AT:AV,2,FALSE)),"-",VLOOKUP(S142,AT:AV,2,FALSE))</f>
        <v>-</v>
      </c>
      <c r="S142" t="s">
        <v>2194</v>
      </c>
      <c r="T142" s="79" t="str">
        <f t="shared" si="58"/>
        <v>-</v>
      </c>
      <c r="U142" s="79" t="str">
        <f t="shared" si="59"/>
        <v>-</v>
      </c>
      <c r="Y142" s="408"/>
    </row>
    <row r="143" spans="1:47">
      <c r="A143"/>
      <c r="M143">
        <f t="shared" ref="M143:M206" si="61">IF(A143&gt;50,0,IF(A143&gt;25,5,IF(A143&gt;15,10,IF(A143&gt;10,15,IF(A143&gt;5,20,IF(A143&gt;4,25,IF(A143&gt;3,30,IF(A143&gt;2,35,IF(A143&gt;1,45,IF(A143=1,75,0))))))))))</f>
        <v>0</v>
      </c>
      <c r="N143">
        <f t="shared" ref="N143:N206" si="62">IF(A143&gt;50,0,IF(A143&gt;25,5,IF(A143&gt;15,10,IF(A143&gt;10,20,IF(A143&gt;5,30,IF(A143&gt;4,40,IF(A143&gt;3,50,IF(A143&gt;2,60,IF(A143&gt;1,70,IF(A143=1,125,0))))))))))</f>
        <v>0</v>
      </c>
      <c r="O143">
        <f t="shared" ref="O143:O206" si="63">IF(A143&gt;50,0,IF(A143&gt;25,10,IF(A143&gt;15,15,IF(A143&gt;10,30,IF(A143&gt;5,40,IF(A143&gt;4,50,IF(A143&gt;3,60,IF(A143&gt;2,70,IF(A143&gt;1,90,IF(A143=1,150,0))))))))))</f>
        <v>0</v>
      </c>
      <c r="P143">
        <f t="shared" ref="P143:P206" si="64">IF(A143&gt;50,0,IF(A143&gt;25,15,IF(A143&gt;15,20,IF(A143&gt;10,40,IF(A143&gt;5,60,IF(A143&gt;4,80,IF(A143&gt;3,100,IF(A143&gt;2,120,IF(A143&gt;1,140,IF(A143=1,250,0))))))))))</f>
        <v>0</v>
      </c>
      <c r="Q143">
        <f t="shared" si="60"/>
        <v>0</v>
      </c>
      <c r="R143" s="79" t="str">
        <f>IF(ISERROR(VLOOKUP(S143,AT:AV,2,FALSE)),"-",VLOOKUP(S143,AT:AV,2,FALSE))</f>
        <v>-</v>
      </c>
      <c r="S143" t="s">
        <v>2140</v>
      </c>
      <c r="T143" s="79" t="str">
        <f t="shared" si="58"/>
        <v>-</v>
      </c>
      <c r="U143" s="79" t="str">
        <f t="shared" si="59"/>
        <v>-</v>
      </c>
      <c r="Y143" s="408"/>
    </row>
    <row r="144" spans="1:47">
      <c r="A144"/>
      <c r="M144">
        <f t="shared" si="61"/>
        <v>0</v>
      </c>
      <c r="N144">
        <f t="shared" si="62"/>
        <v>0</v>
      </c>
      <c r="O144">
        <f t="shared" si="63"/>
        <v>0</v>
      </c>
      <c r="P144">
        <f t="shared" si="64"/>
        <v>0</v>
      </c>
      <c r="Q144">
        <f t="shared" si="60"/>
        <v>0</v>
      </c>
      <c r="R144" s="79" t="str">
        <f>IF(ISERROR(VLOOKUP(S144,AT:AV,2,FALSE)),"-",VLOOKUP(S144,AT:AV,2,FALSE))</f>
        <v>-</v>
      </c>
      <c r="S144" t="s">
        <v>2158</v>
      </c>
      <c r="T144" s="79" t="str">
        <f t="shared" si="58"/>
        <v>-</v>
      </c>
      <c r="U144" s="79" t="str">
        <f t="shared" si="59"/>
        <v>-</v>
      </c>
      <c r="Y144" s="408"/>
    </row>
    <row r="145" spans="1:25">
      <c r="A145"/>
      <c r="M145">
        <f t="shared" si="61"/>
        <v>0</v>
      </c>
      <c r="N145">
        <f t="shared" si="62"/>
        <v>0</v>
      </c>
      <c r="O145">
        <f t="shared" si="63"/>
        <v>0</v>
      </c>
      <c r="P145">
        <f t="shared" si="64"/>
        <v>0</v>
      </c>
      <c r="Q145">
        <f t="shared" si="60"/>
        <v>0</v>
      </c>
      <c r="R145" s="79" t="str">
        <f>IF(ISERROR(VLOOKUP(S145,AT:AV,2,FALSE)),"-",VLOOKUP(S145,AT:AV,2,FALSE))</f>
        <v>-</v>
      </c>
      <c r="S145" t="s">
        <v>2159</v>
      </c>
      <c r="T145" s="79" t="str">
        <f t="shared" si="58"/>
        <v>-</v>
      </c>
      <c r="U145" s="79" t="str">
        <f t="shared" si="59"/>
        <v>-</v>
      </c>
      <c r="Y145" s="408"/>
    </row>
    <row r="146" spans="1:25">
      <c r="A146"/>
      <c r="M146">
        <f t="shared" si="61"/>
        <v>0</v>
      </c>
      <c r="N146">
        <f t="shared" si="62"/>
        <v>0</v>
      </c>
      <c r="O146">
        <f t="shared" si="63"/>
        <v>0</v>
      </c>
      <c r="P146">
        <f t="shared" si="64"/>
        <v>0</v>
      </c>
      <c r="Q146">
        <f t="shared" si="60"/>
        <v>0</v>
      </c>
      <c r="S146" t="s">
        <v>2178</v>
      </c>
      <c r="T146" s="79" t="str">
        <f t="shared" si="58"/>
        <v>-</v>
      </c>
      <c r="U146" s="79" t="str">
        <f t="shared" si="59"/>
        <v>-</v>
      </c>
      <c r="Y146" s="408"/>
    </row>
    <row r="147" spans="1:25">
      <c r="A147"/>
      <c r="M147">
        <f t="shared" si="61"/>
        <v>0</v>
      </c>
      <c r="N147">
        <f t="shared" si="62"/>
        <v>0</v>
      </c>
      <c r="O147">
        <f t="shared" si="63"/>
        <v>0</v>
      </c>
      <c r="P147">
        <f t="shared" si="64"/>
        <v>0</v>
      </c>
      <c r="Q147">
        <f t="shared" si="60"/>
        <v>0</v>
      </c>
      <c r="S147" t="s">
        <v>2179</v>
      </c>
      <c r="T147" s="79" t="str">
        <f t="shared" si="58"/>
        <v>-</v>
      </c>
      <c r="U147" s="79" t="str">
        <f t="shared" si="59"/>
        <v>-</v>
      </c>
      <c r="Y147" s="408"/>
    </row>
    <row r="148" spans="1:25">
      <c r="A148"/>
      <c r="M148">
        <f t="shared" si="61"/>
        <v>0</v>
      </c>
      <c r="N148">
        <f t="shared" si="62"/>
        <v>0</v>
      </c>
      <c r="O148">
        <f t="shared" si="63"/>
        <v>0</v>
      </c>
      <c r="P148">
        <f t="shared" si="64"/>
        <v>0</v>
      </c>
      <c r="Q148">
        <f t="shared" si="60"/>
        <v>0</v>
      </c>
      <c r="S148" t="s">
        <v>2087</v>
      </c>
      <c r="T148" s="79" t="str">
        <f t="shared" si="58"/>
        <v>-</v>
      </c>
      <c r="U148" s="79" t="str">
        <f t="shared" si="59"/>
        <v>-</v>
      </c>
      <c r="Y148" s="408"/>
    </row>
    <row r="149" spans="1:25">
      <c r="A149"/>
      <c r="M149">
        <f t="shared" si="61"/>
        <v>0</v>
      </c>
      <c r="N149">
        <f t="shared" si="62"/>
        <v>0</v>
      </c>
      <c r="O149">
        <f t="shared" si="63"/>
        <v>0</v>
      </c>
      <c r="P149">
        <f t="shared" si="64"/>
        <v>0</v>
      </c>
      <c r="Q149">
        <f t="shared" si="60"/>
        <v>0</v>
      </c>
      <c r="S149" t="s">
        <v>2110</v>
      </c>
      <c r="T149" s="79" t="str">
        <f t="shared" si="58"/>
        <v>-</v>
      </c>
      <c r="U149" s="79" t="str">
        <f t="shared" si="59"/>
        <v>-</v>
      </c>
      <c r="Y149" s="408"/>
    </row>
    <row r="150" spans="1:25">
      <c r="A150"/>
      <c r="M150">
        <f t="shared" si="61"/>
        <v>0</v>
      </c>
      <c r="N150">
        <f t="shared" si="62"/>
        <v>0</v>
      </c>
      <c r="O150">
        <f t="shared" si="63"/>
        <v>0</v>
      </c>
      <c r="P150">
        <f t="shared" si="64"/>
        <v>0</v>
      </c>
      <c r="Q150">
        <f t="shared" si="60"/>
        <v>0</v>
      </c>
      <c r="T150" s="79" t="str">
        <f t="shared" si="58"/>
        <v>-</v>
      </c>
      <c r="U150" s="79" t="str">
        <f t="shared" si="59"/>
        <v>-</v>
      </c>
      <c r="Y150" s="408"/>
    </row>
    <row r="151" spans="1:25">
      <c r="A151"/>
      <c r="M151">
        <f t="shared" si="61"/>
        <v>0</v>
      </c>
      <c r="N151">
        <f t="shared" si="62"/>
        <v>0</v>
      </c>
      <c r="O151">
        <f t="shared" si="63"/>
        <v>0</v>
      </c>
      <c r="P151">
        <f t="shared" si="64"/>
        <v>0</v>
      </c>
      <c r="Q151">
        <f t="shared" si="60"/>
        <v>0</v>
      </c>
      <c r="T151" s="79" t="str">
        <f t="shared" si="58"/>
        <v>-</v>
      </c>
      <c r="U151" s="79" t="str">
        <f t="shared" si="59"/>
        <v>-</v>
      </c>
      <c r="Y151" s="408"/>
    </row>
    <row r="152" spans="1:25">
      <c r="A152"/>
      <c r="M152">
        <f t="shared" si="61"/>
        <v>0</v>
      </c>
      <c r="N152">
        <f t="shared" si="62"/>
        <v>0</v>
      </c>
      <c r="O152">
        <f t="shared" si="63"/>
        <v>0</v>
      </c>
      <c r="P152">
        <f t="shared" si="64"/>
        <v>0</v>
      </c>
      <c r="Q152">
        <f t="shared" si="60"/>
        <v>0</v>
      </c>
      <c r="T152" s="79" t="str">
        <f t="shared" si="58"/>
        <v>-</v>
      </c>
      <c r="U152" s="79" t="str">
        <f t="shared" si="59"/>
        <v>-</v>
      </c>
      <c r="Y152" s="408"/>
    </row>
    <row r="153" spans="1:25">
      <c r="A153"/>
      <c r="M153">
        <f t="shared" si="61"/>
        <v>0</v>
      </c>
      <c r="N153">
        <f t="shared" si="62"/>
        <v>0</v>
      </c>
      <c r="O153">
        <f t="shared" si="63"/>
        <v>0</v>
      </c>
      <c r="P153">
        <f t="shared" si="64"/>
        <v>0</v>
      </c>
      <c r="Q153">
        <f t="shared" si="60"/>
        <v>0</v>
      </c>
      <c r="T153" s="79" t="str">
        <f t="shared" si="58"/>
        <v>-</v>
      </c>
      <c r="U153" s="79" t="str">
        <f t="shared" si="59"/>
        <v>-</v>
      </c>
      <c r="Y153" s="408"/>
    </row>
    <row r="154" spans="1:25">
      <c r="A154"/>
      <c r="M154">
        <f t="shared" si="61"/>
        <v>0</v>
      </c>
      <c r="N154">
        <f t="shared" si="62"/>
        <v>0</v>
      </c>
      <c r="O154">
        <f t="shared" si="63"/>
        <v>0</v>
      </c>
      <c r="P154">
        <f t="shared" si="64"/>
        <v>0</v>
      </c>
      <c r="Q154">
        <f t="shared" si="60"/>
        <v>0</v>
      </c>
      <c r="T154" s="79"/>
      <c r="U154" s="79"/>
      <c r="Y154" s="408"/>
    </row>
    <row r="155" spans="1:25">
      <c r="A155"/>
      <c r="M155">
        <f t="shared" si="61"/>
        <v>0</v>
      </c>
      <c r="N155">
        <f t="shared" si="62"/>
        <v>0</v>
      </c>
      <c r="O155">
        <f t="shared" si="63"/>
        <v>0</v>
      </c>
      <c r="P155">
        <f t="shared" si="64"/>
        <v>0</v>
      </c>
      <c r="Q155">
        <f t="shared" si="60"/>
        <v>0</v>
      </c>
      <c r="T155" s="79"/>
      <c r="U155" s="79"/>
      <c r="Y155" s="408"/>
    </row>
    <row r="156" spans="1:25">
      <c r="A156"/>
      <c r="M156">
        <f t="shared" si="61"/>
        <v>0</v>
      </c>
      <c r="N156">
        <f t="shared" si="62"/>
        <v>0</v>
      </c>
      <c r="O156">
        <f t="shared" si="63"/>
        <v>0</v>
      </c>
      <c r="P156">
        <f t="shared" si="64"/>
        <v>0</v>
      </c>
      <c r="Q156">
        <f t="shared" si="60"/>
        <v>0</v>
      </c>
      <c r="T156" s="79"/>
      <c r="U156" s="79"/>
      <c r="Y156" s="408"/>
    </row>
    <row r="157" spans="1:25">
      <c r="A157"/>
      <c r="M157">
        <f t="shared" si="61"/>
        <v>0</v>
      </c>
      <c r="N157">
        <f t="shared" si="62"/>
        <v>0</v>
      </c>
      <c r="O157">
        <f t="shared" si="63"/>
        <v>0</v>
      </c>
      <c r="P157">
        <f t="shared" si="64"/>
        <v>0</v>
      </c>
      <c r="Q157">
        <f t="shared" si="60"/>
        <v>0</v>
      </c>
      <c r="T157" s="79"/>
      <c r="U157" s="79"/>
      <c r="Y157" s="408"/>
    </row>
    <row r="158" spans="1:25">
      <c r="A158"/>
      <c r="M158">
        <f t="shared" si="61"/>
        <v>0</v>
      </c>
      <c r="N158">
        <f t="shared" si="62"/>
        <v>0</v>
      </c>
      <c r="O158">
        <f t="shared" si="63"/>
        <v>0</v>
      </c>
      <c r="P158">
        <f t="shared" si="64"/>
        <v>0</v>
      </c>
      <c r="Q158">
        <f t="shared" si="60"/>
        <v>0</v>
      </c>
      <c r="T158" s="79"/>
      <c r="U158" s="79"/>
    </row>
    <row r="159" spans="1:25">
      <c r="A159"/>
      <c r="M159">
        <f t="shared" si="61"/>
        <v>0</v>
      </c>
      <c r="N159">
        <f t="shared" si="62"/>
        <v>0</v>
      </c>
      <c r="O159">
        <f t="shared" si="63"/>
        <v>0</v>
      </c>
      <c r="P159">
        <f t="shared" si="64"/>
        <v>0</v>
      </c>
      <c r="Q159">
        <f t="shared" si="60"/>
        <v>0</v>
      </c>
      <c r="T159" s="79"/>
      <c r="U159" s="79"/>
    </row>
    <row r="160" spans="1:25">
      <c r="A160"/>
      <c r="M160">
        <f t="shared" si="61"/>
        <v>0</v>
      </c>
      <c r="N160">
        <f t="shared" si="62"/>
        <v>0</v>
      </c>
      <c r="O160">
        <f t="shared" si="63"/>
        <v>0</v>
      </c>
      <c r="P160">
        <f t="shared" si="64"/>
        <v>0</v>
      </c>
      <c r="Q160">
        <f t="shared" si="60"/>
        <v>0</v>
      </c>
      <c r="T160" s="79"/>
      <c r="U160" s="79"/>
    </row>
    <row r="161" spans="1:21">
      <c r="A161"/>
      <c r="M161">
        <f t="shared" si="61"/>
        <v>0</v>
      </c>
      <c r="N161">
        <f t="shared" si="62"/>
        <v>0</v>
      </c>
      <c r="O161">
        <f t="shared" si="63"/>
        <v>0</v>
      </c>
      <c r="P161">
        <f t="shared" si="64"/>
        <v>0</v>
      </c>
      <c r="Q161">
        <f t="shared" si="60"/>
        <v>0</v>
      </c>
      <c r="T161" s="79"/>
      <c r="U161" s="79"/>
    </row>
    <row r="162" spans="1:21">
      <c r="A162"/>
      <c r="M162">
        <f t="shared" si="61"/>
        <v>0</v>
      </c>
      <c r="N162">
        <f t="shared" si="62"/>
        <v>0</v>
      </c>
      <c r="O162">
        <f t="shared" si="63"/>
        <v>0</v>
      </c>
      <c r="P162">
        <f t="shared" si="64"/>
        <v>0</v>
      </c>
      <c r="Q162">
        <f t="shared" si="60"/>
        <v>0</v>
      </c>
      <c r="T162" s="79"/>
      <c r="U162" s="79"/>
    </row>
    <row r="163" spans="1:21">
      <c r="A163"/>
      <c r="M163">
        <f t="shared" si="61"/>
        <v>0</v>
      </c>
      <c r="N163">
        <f t="shared" si="62"/>
        <v>0</v>
      </c>
      <c r="O163">
        <f t="shared" si="63"/>
        <v>0</v>
      </c>
      <c r="P163">
        <f t="shared" si="64"/>
        <v>0</v>
      </c>
      <c r="Q163">
        <f t="shared" si="60"/>
        <v>0</v>
      </c>
      <c r="T163" s="79"/>
      <c r="U163" s="79"/>
    </row>
    <row r="164" spans="1:21">
      <c r="A164"/>
      <c r="M164">
        <f t="shared" si="61"/>
        <v>0</v>
      </c>
      <c r="N164">
        <f t="shared" si="62"/>
        <v>0</v>
      </c>
      <c r="O164">
        <f t="shared" si="63"/>
        <v>0</v>
      </c>
      <c r="P164">
        <f t="shared" si="64"/>
        <v>0</v>
      </c>
      <c r="Q164">
        <f t="shared" si="60"/>
        <v>0</v>
      </c>
      <c r="T164" s="79"/>
      <c r="U164" s="79"/>
    </row>
    <row r="165" spans="1:21">
      <c r="A165"/>
      <c r="M165">
        <f t="shared" si="61"/>
        <v>0</v>
      </c>
      <c r="N165">
        <f t="shared" si="62"/>
        <v>0</v>
      </c>
      <c r="O165">
        <f t="shared" si="63"/>
        <v>0</v>
      </c>
      <c r="P165">
        <f t="shared" si="64"/>
        <v>0</v>
      </c>
      <c r="Q165">
        <f t="shared" si="60"/>
        <v>0</v>
      </c>
      <c r="T165" s="79"/>
      <c r="U165" s="79"/>
    </row>
    <row r="166" spans="1:21">
      <c r="A166"/>
      <c r="M166">
        <f t="shared" si="61"/>
        <v>0</v>
      </c>
      <c r="N166">
        <f t="shared" si="62"/>
        <v>0</v>
      </c>
      <c r="O166">
        <f t="shared" si="63"/>
        <v>0</v>
      </c>
      <c r="P166">
        <f t="shared" si="64"/>
        <v>0</v>
      </c>
      <c r="Q166">
        <f t="shared" si="60"/>
        <v>0</v>
      </c>
      <c r="T166" s="79"/>
      <c r="U166" s="79"/>
    </row>
    <row r="167" spans="1:21">
      <c r="A167"/>
      <c r="M167">
        <f t="shared" si="61"/>
        <v>0</v>
      </c>
      <c r="N167">
        <f t="shared" si="62"/>
        <v>0</v>
      </c>
      <c r="O167">
        <f t="shared" si="63"/>
        <v>0</v>
      </c>
      <c r="P167">
        <f t="shared" si="64"/>
        <v>0</v>
      </c>
      <c r="Q167">
        <f t="shared" si="60"/>
        <v>0</v>
      </c>
      <c r="T167" s="79"/>
      <c r="U167" s="79"/>
    </row>
    <row r="168" spans="1:21">
      <c r="A168"/>
      <c r="M168">
        <f t="shared" si="61"/>
        <v>0</v>
      </c>
      <c r="N168">
        <f t="shared" si="62"/>
        <v>0</v>
      </c>
      <c r="O168">
        <f t="shared" si="63"/>
        <v>0</v>
      </c>
      <c r="P168">
        <f t="shared" si="64"/>
        <v>0</v>
      </c>
      <c r="Q168">
        <f t="shared" si="60"/>
        <v>0</v>
      </c>
      <c r="T168" s="79"/>
      <c r="U168" s="79"/>
    </row>
    <row r="169" spans="1:21">
      <c r="A169"/>
      <c r="M169">
        <f t="shared" si="61"/>
        <v>0</v>
      </c>
      <c r="N169">
        <f t="shared" si="62"/>
        <v>0</v>
      </c>
      <c r="O169">
        <f t="shared" si="63"/>
        <v>0</v>
      </c>
      <c r="P169">
        <f t="shared" si="64"/>
        <v>0</v>
      </c>
      <c r="Q169">
        <f t="shared" si="60"/>
        <v>0</v>
      </c>
      <c r="T169" s="79"/>
      <c r="U169" s="79"/>
    </row>
    <row r="170" spans="1:21">
      <c r="A170"/>
      <c r="M170">
        <f t="shared" si="61"/>
        <v>0</v>
      </c>
      <c r="N170">
        <f t="shared" si="62"/>
        <v>0</v>
      </c>
      <c r="O170">
        <f t="shared" si="63"/>
        <v>0</v>
      </c>
      <c r="P170">
        <f t="shared" si="64"/>
        <v>0</v>
      </c>
      <c r="Q170">
        <f t="shared" si="60"/>
        <v>0</v>
      </c>
      <c r="T170" s="79"/>
      <c r="U170" s="79"/>
    </row>
    <row r="171" spans="1:21">
      <c r="A171"/>
      <c r="M171">
        <f t="shared" si="61"/>
        <v>0</v>
      </c>
      <c r="N171">
        <f t="shared" si="62"/>
        <v>0</v>
      </c>
      <c r="O171">
        <f t="shared" si="63"/>
        <v>0</v>
      </c>
      <c r="P171">
        <f t="shared" si="64"/>
        <v>0</v>
      </c>
      <c r="Q171">
        <f t="shared" si="60"/>
        <v>0</v>
      </c>
      <c r="T171" s="79"/>
      <c r="U171" s="79"/>
    </row>
    <row r="172" spans="1:21">
      <c r="A172"/>
      <c r="M172">
        <f t="shared" si="61"/>
        <v>0</v>
      </c>
      <c r="N172">
        <f t="shared" si="62"/>
        <v>0</v>
      </c>
      <c r="O172">
        <f t="shared" si="63"/>
        <v>0</v>
      </c>
      <c r="P172">
        <f t="shared" si="64"/>
        <v>0</v>
      </c>
      <c r="Q172">
        <f t="shared" si="60"/>
        <v>0</v>
      </c>
      <c r="T172" s="79"/>
      <c r="U172" s="79"/>
    </row>
    <row r="173" spans="1:21">
      <c r="A173"/>
      <c r="M173">
        <f t="shared" si="61"/>
        <v>0</v>
      </c>
      <c r="N173">
        <f t="shared" si="62"/>
        <v>0</v>
      </c>
      <c r="O173">
        <f t="shared" si="63"/>
        <v>0</v>
      </c>
      <c r="P173">
        <f t="shared" si="64"/>
        <v>0</v>
      </c>
      <c r="Q173">
        <f t="shared" si="60"/>
        <v>0</v>
      </c>
      <c r="T173" s="79"/>
      <c r="U173" s="79"/>
    </row>
    <row r="174" spans="1:21">
      <c r="A174"/>
      <c r="M174">
        <f t="shared" si="61"/>
        <v>0</v>
      </c>
      <c r="N174">
        <f t="shared" si="62"/>
        <v>0</v>
      </c>
      <c r="O174">
        <f t="shared" si="63"/>
        <v>0</v>
      </c>
      <c r="P174">
        <f t="shared" si="64"/>
        <v>0</v>
      </c>
      <c r="Q174">
        <f t="shared" si="60"/>
        <v>0</v>
      </c>
      <c r="T174" s="79"/>
      <c r="U174" s="79"/>
    </row>
    <row r="175" spans="1:21">
      <c r="A175"/>
      <c r="M175">
        <f t="shared" si="61"/>
        <v>0</v>
      </c>
      <c r="N175">
        <f t="shared" si="62"/>
        <v>0</v>
      </c>
      <c r="O175">
        <f t="shared" si="63"/>
        <v>0</v>
      </c>
      <c r="P175">
        <f t="shared" si="64"/>
        <v>0</v>
      </c>
      <c r="Q175">
        <f t="shared" si="60"/>
        <v>0</v>
      </c>
      <c r="T175" s="79"/>
      <c r="U175" s="79"/>
    </row>
    <row r="176" spans="1:21">
      <c r="A176"/>
      <c r="M176">
        <f t="shared" si="61"/>
        <v>0</v>
      </c>
      <c r="N176">
        <f t="shared" si="62"/>
        <v>0</v>
      </c>
      <c r="O176">
        <f t="shared" si="63"/>
        <v>0</v>
      </c>
      <c r="P176">
        <f t="shared" si="64"/>
        <v>0</v>
      </c>
      <c r="Q176">
        <f t="shared" si="60"/>
        <v>0</v>
      </c>
      <c r="T176" s="79"/>
      <c r="U176" s="79"/>
    </row>
    <row r="177" spans="1:21">
      <c r="A177"/>
      <c r="M177">
        <f t="shared" si="61"/>
        <v>0</v>
      </c>
      <c r="N177">
        <f t="shared" si="62"/>
        <v>0</v>
      </c>
      <c r="O177">
        <f t="shared" si="63"/>
        <v>0</v>
      </c>
      <c r="P177">
        <f t="shared" si="64"/>
        <v>0</v>
      </c>
      <c r="Q177">
        <f t="shared" si="60"/>
        <v>0</v>
      </c>
      <c r="T177" s="79"/>
      <c r="U177" s="79"/>
    </row>
    <row r="178" spans="1:21">
      <c r="A178"/>
      <c r="M178">
        <f t="shared" si="61"/>
        <v>0</v>
      </c>
      <c r="N178">
        <f t="shared" si="62"/>
        <v>0</v>
      </c>
      <c r="O178">
        <f t="shared" si="63"/>
        <v>0</v>
      </c>
      <c r="P178">
        <f t="shared" si="64"/>
        <v>0</v>
      </c>
      <c r="Q178">
        <f t="shared" si="60"/>
        <v>0</v>
      </c>
      <c r="T178" s="79"/>
      <c r="U178" s="79"/>
    </row>
    <row r="179" spans="1:21">
      <c r="A179"/>
      <c r="M179">
        <f t="shared" si="61"/>
        <v>0</v>
      </c>
      <c r="N179">
        <f t="shared" si="62"/>
        <v>0</v>
      </c>
      <c r="O179">
        <f t="shared" si="63"/>
        <v>0</v>
      </c>
      <c r="P179">
        <f t="shared" si="64"/>
        <v>0</v>
      </c>
      <c r="Q179">
        <f t="shared" si="60"/>
        <v>0</v>
      </c>
      <c r="T179" s="79"/>
      <c r="U179" s="79"/>
    </row>
    <row r="180" spans="1:21">
      <c r="A180"/>
      <c r="M180">
        <f t="shared" si="61"/>
        <v>0</v>
      </c>
      <c r="N180">
        <f t="shared" si="62"/>
        <v>0</v>
      </c>
      <c r="O180">
        <f t="shared" si="63"/>
        <v>0</v>
      </c>
      <c r="P180">
        <f t="shared" si="64"/>
        <v>0</v>
      </c>
      <c r="Q180">
        <f t="shared" si="60"/>
        <v>0</v>
      </c>
      <c r="T180" s="79"/>
      <c r="U180" s="79"/>
    </row>
    <row r="181" spans="1:21">
      <c r="A181"/>
      <c r="M181">
        <f t="shared" si="61"/>
        <v>0</v>
      </c>
      <c r="N181">
        <f t="shared" si="62"/>
        <v>0</v>
      </c>
      <c r="O181">
        <f t="shared" si="63"/>
        <v>0</v>
      </c>
      <c r="P181">
        <f t="shared" si="64"/>
        <v>0</v>
      </c>
      <c r="Q181">
        <f t="shared" si="60"/>
        <v>0</v>
      </c>
      <c r="T181" s="79"/>
      <c r="U181" s="79"/>
    </row>
    <row r="182" spans="1:21">
      <c r="A182"/>
      <c r="M182">
        <f t="shared" si="61"/>
        <v>0</v>
      </c>
      <c r="N182">
        <f t="shared" si="62"/>
        <v>0</v>
      </c>
      <c r="O182">
        <f t="shared" si="63"/>
        <v>0</v>
      </c>
      <c r="P182">
        <f t="shared" si="64"/>
        <v>0</v>
      </c>
      <c r="Q182">
        <f t="shared" si="60"/>
        <v>0</v>
      </c>
      <c r="T182" s="79"/>
      <c r="U182" s="79"/>
    </row>
    <row r="183" spans="1:21">
      <c r="A183"/>
      <c r="M183">
        <f t="shared" si="61"/>
        <v>0</v>
      </c>
      <c r="N183">
        <f t="shared" si="62"/>
        <v>0</v>
      </c>
      <c r="O183">
        <f t="shared" si="63"/>
        <v>0</v>
      </c>
      <c r="P183">
        <f t="shared" si="64"/>
        <v>0</v>
      </c>
      <c r="Q183">
        <f t="shared" si="60"/>
        <v>0</v>
      </c>
      <c r="T183" s="79"/>
      <c r="U183" s="79"/>
    </row>
    <row r="184" spans="1:21">
      <c r="A184"/>
      <c r="M184">
        <f t="shared" si="61"/>
        <v>0</v>
      </c>
      <c r="N184">
        <f t="shared" si="62"/>
        <v>0</v>
      </c>
      <c r="O184">
        <f t="shared" si="63"/>
        <v>0</v>
      </c>
      <c r="P184">
        <f t="shared" si="64"/>
        <v>0</v>
      </c>
      <c r="Q184">
        <f t="shared" si="60"/>
        <v>0</v>
      </c>
      <c r="T184" s="79"/>
      <c r="U184" s="79"/>
    </row>
    <row r="185" spans="1:21">
      <c r="A185"/>
      <c r="M185">
        <f t="shared" si="61"/>
        <v>0</v>
      </c>
      <c r="N185">
        <f t="shared" si="62"/>
        <v>0</v>
      </c>
      <c r="O185">
        <f t="shared" si="63"/>
        <v>0</v>
      </c>
      <c r="P185">
        <f t="shared" si="64"/>
        <v>0</v>
      </c>
      <c r="Q185">
        <f t="shared" si="60"/>
        <v>0</v>
      </c>
      <c r="T185" s="79"/>
      <c r="U185" s="79"/>
    </row>
    <row r="186" spans="1:21">
      <c r="A186"/>
      <c r="M186">
        <f t="shared" si="61"/>
        <v>0</v>
      </c>
      <c r="N186">
        <f t="shared" si="62"/>
        <v>0</v>
      </c>
      <c r="O186">
        <f t="shared" si="63"/>
        <v>0</v>
      </c>
      <c r="P186">
        <f t="shared" si="64"/>
        <v>0</v>
      </c>
      <c r="Q186">
        <f t="shared" si="60"/>
        <v>0</v>
      </c>
      <c r="T186" s="79"/>
      <c r="U186" s="79"/>
    </row>
    <row r="187" spans="1:21">
      <c r="A187"/>
      <c r="M187">
        <f t="shared" si="61"/>
        <v>0</v>
      </c>
      <c r="N187">
        <f t="shared" si="62"/>
        <v>0</v>
      </c>
      <c r="O187">
        <f t="shared" si="63"/>
        <v>0</v>
      </c>
      <c r="P187">
        <f t="shared" si="64"/>
        <v>0</v>
      </c>
      <c r="Q187">
        <f t="shared" si="60"/>
        <v>0</v>
      </c>
      <c r="T187" s="79"/>
      <c r="U187" s="79"/>
    </row>
    <row r="188" spans="1:21">
      <c r="A188"/>
      <c r="M188">
        <f t="shared" si="61"/>
        <v>0</v>
      </c>
      <c r="N188">
        <f t="shared" si="62"/>
        <v>0</v>
      </c>
      <c r="O188">
        <f t="shared" si="63"/>
        <v>0</v>
      </c>
      <c r="P188">
        <f t="shared" si="64"/>
        <v>0</v>
      </c>
      <c r="Q188">
        <f t="shared" si="60"/>
        <v>0</v>
      </c>
      <c r="T188" s="79"/>
      <c r="U188" s="79"/>
    </row>
    <row r="189" spans="1:21">
      <c r="A189"/>
      <c r="M189">
        <f t="shared" si="61"/>
        <v>0</v>
      </c>
      <c r="N189">
        <f t="shared" si="62"/>
        <v>0</v>
      </c>
      <c r="O189">
        <f t="shared" si="63"/>
        <v>0</v>
      </c>
      <c r="P189">
        <f t="shared" si="64"/>
        <v>0</v>
      </c>
      <c r="Q189">
        <f t="shared" si="60"/>
        <v>0</v>
      </c>
      <c r="T189" s="79"/>
      <c r="U189" s="79"/>
    </row>
    <row r="190" spans="1:21">
      <c r="A190"/>
      <c r="M190">
        <f t="shared" si="61"/>
        <v>0</v>
      </c>
      <c r="N190">
        <f t="shared" si="62"/>
        <v>0</v>
      </c>
      <c r="O190">
        <f t="shared" si="63"/>
        <v>0</v>
      </c>
      <c r="P190">
        <f t="shared" si="64"/>
        <v>0</v>
      </c>
      <c r="Q190">
        <f t="shared" si="60"/>
        <v>0</v>
      </c>
      <c r="T190" s="79"/>
      <c r="U190" s="79"/>
    </row>
    <row r="191" spans="1:21">
      <c r="A191"/>
      <c r="M191">
        <f t="shared" si="61"/>
        <v>0</v>
      </c>
      <c r="N191">
        <f t="shared" si="62"/>
        <v>0</v>
      </c>
      <c r="O191">
        <f t="shared" si="63"/>
        <v>0</v>
      </c>
      <c r="P191">
        <f t="shared" si="64"/>
        <v>0</v>
      </c>
      <c r="Q191">
        <f t="shared" si="60"/>
        <v>0</v>
      </c>
      <c r="T191" s="79"/>
      <c r="U191" s="79"/>
    </row>
    <row r="192" spans="1:21">
      <c r="A192"/>
      <c r="M192">
        <f t="shared" si="61"/>
        <v>0</v>
      </c>
      <c r="N192">
        <f t="shared" si="62"/>
        <v>0</v>
      </c>
      <c r="O192">
        <f t="shared" si="63"/>
        <v>0</v>
      </c>
      <c r="P192">
        <f t="shared" si="64"/>
        <v>0</v>
      </c>
      <c r="Q192">
        <f t="shared" si="60"/>
        <v>0</v>
      </c>
      <c r="T192" s="79"/>
      <c r="U192" s="79"/>
    </row>
    <row r="193" spans="1:21">
      <c r="A193"/>
      <c r="M193">
        <f t="shared" si="61"/>
        <v>0</v>
      </c>
      <c r="N193">
        <f t="shared" si="62"/>
        <v>0</v>
      </c>
      <c r="O193">
        <f t="shared" si="63"/>
        <v>0</v>
      </c>
      <c r="P193">
        <f t="shared" si="64"/>
        <v>0</v>
      </c>
      <c r="Q193">
        <f t="shared" si="60"/>
        <v>0</v>
      </c>
      <c r="T193" s="79"/>
      <c r="U193" s="79"/>
    </row>
    <row r="194" spans="1:21">
      <c r="A194"/>
      <c r="M194">
        <f t="shared" si="61"/>
        <v>0</v>
      </c>
      <c r="N194">
        <f t="shared" si="62"/>
        <v>0</v>
      </c>
      <c r="O194">
        <f t="shared" si="63"/>
        <v>0</v>
      </c>
      <c r="P194">
        <f t="shared" si="64"/>
        <v>0</v>
      </c>
      <c r="Q194">
        <f t="shared" si="60"/>
        <v>0</v>
      </c>
      <c r="T194" s="79"/>
      <c r="U194" s="79"/>
    </row>
    <row r="195" spans="1:21">
      <c r="A195"/>
      <c r="M195">
        <f t="shared" si="61"/>
        <v>0</v>
      </c>
      <c r="N195">
        <f t="shared" si="62"/>
        <v>0</v>
      </c>
      <c r="O195">
        <f t="shared" si="63"/>
        <v>0</v>
      </c>
      <c r="P195">
        <f t="shared" si="64"/>
        <v>0</v>
      </c>
      <c r="Q195">
        <f t="shared" si="60"/>
        <v>0</v>
      </c>
      <c r="T195" s="79"/>
      <c r="U195" s="79"/>
    </row>
    <row r="196" spans="1:21">
      <c r="A196"/>
      <c r="M196">
        <f t="shared" si="61"/>
        <v>0</v>
      </c>
      <c r="N196">
        <f t="shared" si="62"/>
        <v>0</v>
      </c>
      <c r="O196">
        <f t="shared" si="63"/>
        <v>0</v>
      </c>
      <c r="P196">
        <f t="shared" si="64"/>
        <v>0</v>
      </c>
      <c r="Q196">
        <f t="shared" si="60"/>
        <v>0</v>
      </c>
      <c r="T196" s="79"/>
      <c r="U196" s="79"/>
    </row>
    <row r="197" spans="1:21">
      <c r="A197"/>
      <c r="M197">
        <f t="shared" si="61"/>
        <v>0</v>
      </c>
      <c r="N197">
        <f t="shared" si="62"/>
        <v>0</v>
      </c>
      <c r="O197">
        <f t="shared" si="63"/>
        <v>0</v>
      </c>
      <c r="P197">
        <f t="shared" si="64"/>
        <v>0</v>
      </c>
      <c r="Q197">
        <f t="shared" si="60"/>
        <v>0</v>
      </c>
      <c r="T197" s="79"/>
      <c r="U197" s="79"/>
    </row>
    <row r="198" spans="1:21">
      <c r="A198"/>
      <c r="M198">
        <f t="shared" si="61"/>
        <v>0</v>
      </c>
      <c r="N198">
        <f t="shared" si="62"/>
        <v>0</v>
      </c>
      <c r="O198">
        <f t="shared" si="63"/>
        <v>0</v>
      </c>
      <c r="P198">
        <f t="shared" si="64"/>
        <v>0</v>
      </c>
      <c r="Q198">
        <f t="shared" si="60"/>
        <v>0</v>
      </c>
      <c r="T198" s="79"/>
      <c r="U198" s="79"/>
    </row>
    <row r="199" spans="1:21">
      <c r="A199"/>
      <c r="M199">
        <f t="shared" si="61"/>
        <v>0</v>
      </c>
      <c r="N199">
        <f t="shared" si="62"/>
        <v>0</v>
      </c>
      <c r="O199">
        <f t="shared" si="63"/>
        <v>0</v>
      </c>
      <c r="P199">
        <f t="shared" si="64"/>
        <v>0</v>
      </c>
      <c r="Q199">
        <f t="shared" si="60"/>
        <v>0</v>
      </c>
      <c r="T199" s="79"/>
      <c r="U199" s="79"/>
    </row>
    <row r="200" spans="1:21">
      <c r="A200"/>
      <c r="M200">
        <f t="shared" si="61"/>
        <v>0</v>
      </c>
      <c r="N200">
        <f t="shared" si="62"/>
        <v>0</v>
      </c>
      <c r="O200">
        <f t="shared" si="63"/>
        <v>0</v>
      </c>
      <c r="P200">
        <f t="shared" si="64"/>
        <v>0</v>
      </c>
      <c r="Q200">
        <f t="shared" si="60"/>
        <v>0</v>
      </c>
      <c r="T200" s="79"/>
      <c r="U200" s="79"/>
    </row>
    <row r="201" spans="1:21">
      <c r="A201"/>
      <c r="M201">
        <f t="shared" si="61"/>
        <v>0</v>
      </c>
      <c r="N201">
        <f t="shared" si="62"/>
        <v>0</v>
      </c>
      <c r="O201">
        <f t="shared" si="63"/>
        <v>0</v>
      </c>
      <c r="P201">
        <f t="shared" si="64"/>
        <v>0</v>
      </c>
      <c r="Q201">
        <f t="shared" si="60"/>
        <v>0</v>
      </c>
      <c r="T201" s="79"/>
      <c r="U201" s="79"/>
    </row>
    <row r="202" spans="1:21">
      <c r="A202"/>
      <c r="M202">
        <f t="shared" si="61"/>
        <v>0</v>
      </c>
      <c r="N202">
        <f t="shared" si="62"/>
        <v>0</v>
      </c>
      <c r="O202">
        <f t="shared" si="63"/>
        <v>0</v>
      </c>
      <c r="P202">
        <f t="shared" si="64"/>
        <v>0</v>
      </c>
      <c r="Q202">
        <f t="shared" si="60"/>
        <v>0</v>
      </c>
      <c r="T202" s="79"/>
      <c r="U202" s="79"/>
    </row>
    <row r="203" spans="1:21">
      <c r="A203"/>
      <c r="M203">
        <f t="shared" si="61"/>
        <v>0</v>
      </c>
      <c r="N203">
        <f t="shared" si="62"/>
        <v>0</v>
      </c>
      <c r="O203">
        <f t="shared" si="63"/>
        <v>0</v>
      </c>
      <c r="P203">
        <f t="shared" si="64"/>
        <v>0</v>
      </c>
      <c r="Q203">
        <f t="shared" si="60"/>
        <v>0</v>
      </c>
      <c r="T203" s="79"/>
      <c r="U203" s="79"/>
    </row>
    <row r="204" spans="1:21">
      <c r="A204"/>
      <c r="M204">
        <f t="shared" si="61"/>
        <v>0</v>
      </c>
      <c r="N204">
        <f t="shared" si="62"/>
        <v>0</v>
      </c>
      <c r="O204">
        <f t="shared" si="63"/>
        <v>0</v>
      </c>
      <c r="P204">
        <f t="shared" si="64"/>
        <v>0</v>
      </c>
      <c r="Q204">
        <f t="shared" si="60"/>
        <v>0</v>
      </c>
      <c r="T204" s="79"/>
      <c r="U204" s="79"/>
    </row>
    <row r="205" spans="1:21">
      <c r="A205"/>
      <c r="M205">
        <f t="shared" si="61"/>
        <v>0</v>
      </c>
      <c r="N205">
        <f t="shared" si="62"/>
        <v>0</v>
      </c>
      <c r="O205">
        <f t="shared" si="63"/>
        <v>0</v>
      </c>
      <c r="P205">
        <f t="shared" si="64"/>
        <v>0</v>
      </c>
      <c r="Q205">
        <f t="shared" ref="Q205:Q268" si="65">A205</f>
        <v>0</v>
      </c>
      <c r="T205" s="79"/>
      <c r="U205" s="79"/>
    </row>
    <row r="206" spans="1:21">
      <c r="A206"/>
      <c r="M206">
        <f t="shared" si="61"/>
        <v>0</v>
      </c>
      <c r="N206">
        <f t="shared" si="62"/>
        <v>0</v>
      </c>
      <c r="O206">
        <f t="shared" si="63"/>
        <v>0</v>
      </c>
      <c r="P206">
        <f t="shared" si="64"/>
        <v>0</v>
      </c>
      <c r="Q206">
        <f t="shared" si="65"/>
        <v>0</v>
      </c>
      <c r="T206" s="79"/>
      <c r="U206" s="79"/>
    </row>
    <row r="207" spans="1:21">
      <c r="A207"/>
      <c r="M207">
        <f t="shared" ref="M207:M270" si="66">IF(A207&gt;50,0,IF(A207&gt;25,5,IF(A207&gt;15,10,IF(A207&gt;10,15,IF(A207&gt;5,20,IF(A207&gt;4,25,IF(A207&gt;3,30,IF(A207&gt;2,35,IF(A207&gt;1,45,IF(A207=1,75,0))))))))))</f>
        <v>0</v>
      </c>
      <c r="N207">
        <f t="shared" ref="N207:N270" si="67">IF(A207&gt;50,0,IF(A207&gt;25,5,IF(A207&gt;15,10,IF(A207&gt;10,20,IF(A207&gt;5,30,IF(A207&gt;4,40,IF(A207&gt;3,50,IF(A207&gt;2,60,IF(A207&gt;1,70,IF(A207=1,125,0))))))))))</f>
        <v>0</v>
      </c>
      <c r="O207">
        <f t="shared" ref="O207:O270" si="68">IF(A207&gt;50,0,IF(A207&gt;25,10,IF(A207&gt;15,15,IF(A207&gt;10,30,IF(A207&gt;5,40,IF(A207&gt;4,50,IF(A207&gt;3,60,IF(A207&gt;2,70,IF(A207&gt;1,90,IF(A207=1,150,0))))))))))</f>
        <v>0</v>
      </c>
      <c r="P207">
        <f t="shared" ref="P207:P270" si="69">IF(A207&gt;50,0,IF(A207&gt;25,15,IF(A207&gt;15,20,IF(A207&gt;10,40,IF(A207&gt;5,60,IF(A207&gt;4,80,IF(A207&gt;3,100,IF(A207&gt;2,120,IF(A207&gt;1,140,IF(A207=1,250,0))))))))))</f>
        <v>0</v>
      </c>
      <c r="Q207">
        <f t="shared" si="65"/>
        <v>0</v>
      </c>
      <c r="T207" s="79"/>
      <c r="U207" s="79"/>
    </row>
    <row r="208" spans="1:21">
      <c r="A208"/>
      <c r="M208">
        <f t="shared" si="66"/>
        <v>0</v>
      </c>
      <c r="N208">
        <f t="shared" si="67"/>
        <v>0</v>
      </c>
      <c r="O208">
        <f t="shared" si="68"/>
        <v>0</v>
      </c>
      <c r="P208">
        <f t="shared" si="69"/>
        <v>0</v>
      </c>
      <c r="Q208">
        <f t="shared" si="65"/>
        <v>0</v>
      </c>
      <c r="T208" s="79"/>
      <c r="U208" s="79"/>
    </row>
    <row r="209" spans="1:21">
      <c r="A209"/>
      <c r="M209">
        <f t="shared" si="66"/>
        <v>0</v>
      </c>
      <c r="N209">
        <f t="shared" si="67"/>
        <v>0</v>
      </c>
      <c r="O209">
        <f t="shared" si="68"/>
        <v>0</v>
      </c>
      <c r="P209">
        <f t="shared" si="69"/>
        <v>0</v>
      </c>
      <c r="Q209">
        <f t="shared" si="65"/>
        <v>0</v>
      </c>
      <c r="T209" s="79"/>
      <c r="U209" s="79"/>
    </row>
    <row r="210" spans="1:21">
      <c r="A210"/>
      <c r="M210">
        <f t="shared" si="66"/>
        <v>0</v>
      </c>
      <c r="N210">
        <f t="shared" si="67"/>
        <v>0</v>
      </c>
      <c r="O210">
        <f t="shared" si="68"/>
        <v>0</v>
      </c>
      <c r="P210">
        <f t="shared" si="69"/>
        <v>0</v>
      </c>
      <c r="Q210">
        <f t="shared" si="65"/>
        <v>0</v>
      </c>
      <c r="T210" s="79"/>
      <c r="U210" s="79"/>
    </row>
    <row r="211" spans="1:21">
      <c r="A211"/>
      <c r="M211">
        <f t="shared" si="66"/>
        <v>0</v>
      </c>
      <c r="N211">
        <f t="shared" si="67"/>
        <v>0</v>
      </c>
      <c r="O211">
        <f t="shared" si="68"/>
        <v>0</v>
      </c>
      <c r="P211">
        <f t="shared" si="69"/>
        <v>0</v>
      </c>
      <c r="Q211">
        <f t="shared" si="65"/>
        <v>0</v>
      </c>
      <c r="T211" s="79"/>
      <c r="U211" s="79"/>
    </row>
    <row r="212" spans="1:21">
      <c r="A212"/>
      <c r="M212">
        <f t="shared" si="66"/>
        <v>0</v>
      </c>
      <c r="N212">
        <f t="shared" si="67"/>
        <v>0</v>
      </c>
      <c r="O212">
        <f t="shared" si="68"/>
        <v>0</v>
      </c>
      <c r="P212">
        <f t="shared" si="69"/>
        <v>0</v>
      </c>
      <c r="Q212">
        <f t="shared" si="65"/>
        <v>0</v>
      </c>
      <c r="T212" s="79"/>
      <c r="U212" s="79"/>
    </row>
    <row r="213" spans="1:21">
      <c r="A213"/>
      <c r="M213">
        <f t="shared" si="66"/>
        <v>0</v>
      </c>
      <c r="N213">
        <f t="shared" si="67"/>
        <v>0</v>
      </c>
      <c r="O213">
        <f t="shared" si="68"/>
        <v>0</v>
      </c>
      <c r="P213">
        <f t="shared" si="69"/>
        <v>0</v>
      </c>
      <c r="Q213">
        <f t="shared" si="65"/>
        <v>0</v>
      </c>
      <c r="T213" s="79"/>
      <c r="U213" s="79"/>
    </row>
    <row r="214" spans="1:21">
      <c r="A214"/>
      <c r="M214">
        <f t="shared" si="66"/>
        <v>0</v>
      </c>
      <c r="N214">
        <f t="shared" si="67"/>
        <v>0</v>
      </c>
      <c r="O214">
        <f t="shared" si="68"/>
        <v>0</v>
      </c>
      <c r="P214">
        <f t="shared" si="69"/>
        <v>0</v>
      </c>
      <c r="Q214">
        <f t="shared" si="65"/>
        <v>0</v>
      </c>
      <c r="T214" s="79"/>
      <c r="U214" s="79"/>
    </row>
    <row r="215" spans="1:21">
      <c r="A215"/>
      <c r="M215">
        <f t="shared" si="66"/>
        <v>0</v>
      </c>
      <c r="N215">
        <f t="shared" si="67"/>
        <v>0</v>
      </c>
      <c r="O215">
        <f t="shared" si="68"/>
        <v>0</v>
      </c>
      <c r="P215">
        <f t="shared" si="69"/>
        <v>0</v>
      </c>
      <c r="Q215">
        <f t="shared" si="65"/>
        <v>0</v>
      </c>
      <c r="T215" s="79"/>
      <c r="U215" s="79"/>
    </row>
    <row r="216" spans="1:21">
      <c r="A216"/>
      <c r="M216">
        <f t="shared" si="66"/>
        <v>0</v>
      </c>
      <c r="N216">
        <f t="shared" si="67"/>
        <v>0</v>
      </c>
      <c r="O216">
        <f t="shared" si="68"/>
        <v>0</v>
      </c>
      <c r="P216">
        <f t="shared" si="69"/>
        <v>0</v>
      </c>
      <c r="Q216">
        <f t="shared" si="65"/>
        <v>0</v>
      </c>
      <c r="T216" s="79"/>
      <c r="U216" s="79"/>
    </row>
    <row r="217" spans="1:21">
      <c r="A217"/>
      <c r="M217">
        <f t="shared" si="66"/>
        <v>0</v>
      </c>
      <c r="N217">
        <f t="shared" si="67"/>
        <v>0</v>
      </c>
      <c r="O217">
        <f t="shared" si="68"/>
        <v>0</v>
      </c>
      <c r="P217">
        <f t="shared" si="69"/>
        <v>0</v>
      </c>
      <c r="Q217">
        <f t="shared" si="65"/>
        <v>0</v>
      </c>
      <c r="T217" s="79"/>
      <c r="U217" s="79"/>
    </row>
    <row r="218" spans="1:21">
      <c r="A218"/>
      <c r="M218">
        <f t="shared" si="66"/>
        <v>0</v>
      </c>
      <c r="N218">
        <f t="shared" si="67"/>
        <v>0</v>
      </c>
      <c r="O218">
        <f t="shared" si="68"/>
        <v>0</v>
      </c>
      <c r="P218">
        <f t="shared" si="69"/>
        <v>0</v>
      </c>
      <c r="Q218">
        <f t="shared" si="65"/>
        <v>0</v>
      </c>
      <c r="T218" s="79"/>
      <c r="U218" s="79"/>
    </row>
    <row r="219" spans="1:21">
      <c r="A219"/>
      <c r="M219">
        <f t="shared" si="66"/>
        <v>0</v>
      </c>
      <c r="N219">
        <f t="shared" si="67"/>
        <v>0</v>
      </c>
      <c r="O219">
        <f t="shared" si="68"/>
        <v>0</v>
      </c>
      <c r="P219">
        <f t="shared" si="69"/>
        <v>0</v>
      </c>
      <c r="Q219">
        <f t="shared" si="65"/>
        <v>0</v>
      </c>
      <c r="T219" s="79"/>
      <c r="U219" s="79"/>
    </row>
    <row r="220" spans="1:21">
      <c r="A220"/>
      <c r="M220">
        <f t="shared" si="66"/>
        <v>0</v>
      </c>
      <c r="N220">
        <f t="shared" si="67"/>
        <v>0</v>
      </c>
      <c r="O220">
        <f t="shared" si="68"/>
        <v>0</v>
      </c>
      <c r="P220">
        <f t="shared" si="69"/>
        <v>0</v>
      </c>
      <c r="Q220">
        <f t="shared" si="65"/>
        <v>0</v>
      </c>
      <c r="T220" s="79"/>
      <c r="U220" s="79"/>
    </row>
    <row r="221" spans="1:21">
      <c r="A221"/>
      <c r="M221">
        <f t="shared" si="66"/>
        <v>0</v>
      </c>
      <c r="N221">
        <f t="shared" si="67"/>
        <v>0</v>
      </c>
      <c r="O221">
        <f t="shared" si="68"/>
        <v>0</v>
      </c>
      <c r="P221">
        <f t="shared" si="69"/>
        <v>0</v>
      </c>
      <c r="Q221">
        <f t="shared" si="65"/>
        <v>0</v>
      </c>
      <c r="T221" s="79"/>
      <c r="U221" s="79"/>
    </row>
    <row r="222" spans="1:21">
      <c r="A222"/>
      <c r="M222">
        <f t="shared" si="66"/>
        <v>0</v>
      </c>
      <c r="N222">
        <f t="shared" si="67"/>
        <v>0</v>
      </c>
      <c r="O222">
        <f t="shared" si="68"/>
        <v>0</v>
      </c>
      <c r="P222">
        <f t="shared" si="69"/>
        <v>0</v>
      </c>
      <c r="Q222">
        <f t="shared" si="65"/>
        <v>0</v>
      </c>
      <c r="T222" s="79"/>
      <c r="U222" s="79"/>
    </row>
    <row r="223" spans="1:21">
      <c r="A223"/>
      <c r="M223">
        <f t="shared" si="66"/>
        <v>0</v>
      </c>
      <c r="N223">
        <f t="shared" si="67"/>
        <v>0</v>
      </c>
      <c r="O223">
        <f t="shared" si="68"/>
        <v>0</v>
      </c>
      <c r="P223">
        <f t="shared" si="69"/>
        <v>0</v>
      </c>
      <c r="Q223">
        <f t="shared" si="65"/>
        <v>0</v>
      </c>
      <c r="T223" s="79"/>
      <c r="U223" s="79"/>
    </row>
    <row r="224" spans="1:21">
      <c r="A224"/>
      <c r="M224">
        <f t="shared" si="66"/>
        <v>0</v>
      </c>
      <c r="N224">
        <f t="shared" si="67"/>
        <v>0</v>
      </c>
      <c r="O224">
        <f t="shared" si="68"/>
        <v>0</v>
      </c>
      <c r="P224">
        <f t="shared" si="69"/>
        <v>0</v>
      </c>
      <c r="Q224">
        <f t="shared" si="65"/>
        <v>0</v>
      </c>
      <c r="T224" s="79"/>
      <c r="U224" s="79"/>
    </row>
    <row r="225" spans="1:21">
      <c r="A225"/>
      <c r="M225">
        <f t="shared" si="66"/>
        <v>0</v>
      </c>
      <c r="N225">
        <f t="shared" si="67"/>
        <v>0</v>
      </c>
      <c r="O225">
        <f t="shared" si="68"/>
        <v>0</v>
      </c>
      <c r="P225">
        <f t="shared" si="69"/>
        <v>0</v>
      </c>
      <c r="Q225">
        <f t="shared" si="65"/>
        <v>0</v>
      </c>
      <c r="T225" s="79"/>
      <c r="U225" s="79"/>
    </row>
    <row r="226" spans="1:21">
      <c r="A226"/>
      <c r="M226">
        <f t="shared" si="66"/>
        <v>0</v>
      </c>
      <c r="N226">
        <f t="shared" si="67"/>
        <v>0</v>
      </c>
      <c r="O226">
        <f t="shared" si="68"/>
        <v>0</v>
      </c>
      <c r="P226">
        <f t="shared" si="69"/>
        <v>0</v>
      </c>
      <c r="Q226">
        <f t="shared" si="65"/>
        <v>0</v>
      </c>
      <c r="T226" s="79"/>
      <c r="U226" s="79"/>
    </row>
    <row r="227" spans="1:21">
      <c r="A227"/>
      <c r="M227">
        <f t="shared" si="66"/>
        <v>0</v>
      </c>
      <c r="N227">
        <f t="shared" si="67"/>
        <v>0</v>
      </c>
      <c r="O227">
        <f t="shared" si="68"/>
        <v>0</v>
      </c>
      <c r="P227">
        <f t="shared" si="69"/>
        <v>0</v>
      </c>
      <c r="Q227">
        <f t="shared" si="65"/>
        <v>0</v>
      </c>
      <c r="T227" s="79"/>
      <c r="U227" s="79"/>
    </row>
    <row r="228" spans="1:21">
      <c r="A228"/>
      <c r="M228">
        <f t="shared" si="66"/>
        <v>0</v>
      </c>
      <c r="N228">
        <f t="shared" si="67"/>
        <v>0</v>
      </c>
      <c r="O228">
        <f t="shared" si="68"/>
        <v>0</v>
      </c>
      <c r="P228">
        <f t="shared" si="69"/>
        <v>0</v>
      </c>
      <c r="Q228">
        <f t="shared" si="65"/>
        <v>0</v>
      </c>
      <c r="T228" s="79"/>
      <c r="U228" s="79"/>
    </row>
    <row r="229" spans="1:21">
      <c r="A229"/>
      <c r="M229">
        <f t="shared" si="66"/>
        <v>0</v>
      </c>
      <c r="N229">
        <f t="shared" si="67"/>
        <v>0</v>
      </c>
      <c r="O229">
        <f t="shared" si="68"/>
        <v>0</v>
      </c>
      <c r="P229">
        <f t="shared" si="69"/>
        <v>0</v>
      </c>
      <c r="Q229">
        <f t="shared" si="65"/>
        <v>0</v>
      </c>
      <c r="T229" s="79"/>
      <c r="U229" s="79"/>
    </row>
    <row r="230" spans="1:21">
      <c r="A230"/>
      <c r="M230">
        <f t="shared" si="66"/>
        <v>0</v>
      </c>
      <c r="N230">
        <f t="shared" si="67"/>
        <v>0</v>
      </c>
      <c r="O230">
        <f t="shared" si="68"/>
        <v>0</v>
      </c>
      <c r="P230">
        <f t="shared" si="69"/>
        <v>0</v>
      </c>
      <c r="Q230">
        <f t="shared" si="65"/>
        <v>0</v>
      </c>
      <c r="T230" s="79"/>
      <c r="U230" s="79"/>
    </row>
    <row r="231" spans="1:21">
      <c r="A231"/>
      <c r="M231">
        <f t="shared" si="66"/>
        <v>0</v>
      </c>
      <c r="N231">
        <f t="shared" si="67"/>
        <v>0</v>
      </c>
      <c r="O231">
        <f t="shared" si="68"/>
        <v>0</v>
      </c>
      <c r="P231">
        <f t="shared" si="69"/>
        <v>0</v>
      </c>
      <c r="Q231">
        <f t="shared" si="65"/>
        <v>0</v>
      </c>
      <c r="T231" s="79"/>
      <c r="U231" s="79"/>
    </row>
    <row r="232" spans="1:21">
      <c r="A232"/>
      <c r="M232">
        <f t="shared" si="66"/>
        <v>0</v>
      </c>
      <c r="N232">
        <f t="shared" si="67"/>
        <v>0</v>
      </c>
      <c r="O232">
        <f t="shared" si="68"/>
        <v>0</v>
      </c>
      <c r="P232">
        <f t="shared" si="69"/>
        <v>0</v>
      </c>
      <c r="Q232">
        <f t="shared" si="65"/>
        <v>0</v>
      </c>
      <c r="T232" s="79"/>
      <c r="U232" s="79"/>
    </row>
    <row r="233" spans="1:21">
      <c r="A233"/>
      <c r="M233">
        <f t="shared" si="66"/>
        <v>0</v>
      </c>
      <c r="N233">
        <f t="shared" si="67"/>
        <v>0</v>
      </c>
      <c r="O233">
        <f t="shared" si="68"/>
        <v>0</v>
      </c>
      <c r="P233">
        <f t="shared" si="69"/>
        <v>0</v>
      </c>
      <c r="Q233">
        <f t="shared" si="65"/>
        <v>0</v>
      </c>
      <c r="T233" s="79"/>
      <c r="U233" s="79"/>
    </row>
    <row r="234" spans="1:21">
      <c r="A234"/>
      <c r="M234">
        <f t="shared" si="66"/>
        <v>0</v>
      </c>
      <c r="N234">
        <f t="shared" si="67"/>
        <v>0</v>
      </c>
      <c r="O234">
        <f t="shared" si="68"/>
        <v>0</v>
      </c>
      <c r="P234">
        <f t="shared" si="69"/>
        <v>0</v>
      </c>
      <c r="Q234">
        <f t="shared" si="65"/>
        <v>0</v>
      </c>
      <c r="T234" s="79"/>
      <c r="U234" s="79"/>
    </row>
    <row r="235" spans="1:21">
      <c r="A235"/>
      <c r="M235">
        <f t="shared" si="66"/>
        <v>0</v>
      </c>
      <c r="N235">
        <f t="shared" si="67"/>
        <v>0</v>
      </c>
      <c r="O235">
        <f t="shared" si="68"/>
        <v>0</v>
      </c>
      <c r="P235">
        <f t="shared" si="69"/>
        <v>0</v>
      </c>
      <c r="Q235">
        <f t="shared" si="65"/>
        <v>0</v>
      </c>
      <c r="T235" s="79"/>
      <c r="U235" s="79"/>
    </row>
    <row r="236" spans="1:21">
      <c r="A236"/>
      <c r="M236">
        <f t="shared" si="66"/>
        <v>0</v>
      </c>
      <c r="N236">
        <f t="shared" si="67"/>
        <v>0</v>
      </c>
      <c r="O236">
        <f t="shared" si="68"/>
        <v>0</v>
      </c>
      <c r="P236">
        <f t="shared" si="69"/>
        <v>0</v>
      </c>
      <c r="Q236">
        <f t="shared" si="65"/>
        <v>0</v>
      </c>
      <c r="T236" s="79"/>
      <c r="U236" s="79"/>
    </row>
    <row r="237" spans="1:21">
      <c r="A237"/>
      <c r="M237">
        <f t="shared" si="66"/>
        <v>0</v>
      </c>
      <c r="N237">
        <f t="shared" si="67"/>
        <v>0</v>
      </c>
      <c r="O237">
        <f t="shared" si="68"/>
        <v>0</v>
      </c>
      <c r="P237">
        <f t="shared" si="69"/>
        <v>0</v>
      </c>
      <c r="Q237">
        <f t="shared" si="65"/>
        <v>0</v>
      </c>
      <c r="T237" s="79"/>
      <c r="U237" s="79"/>
    </row>
    <row r="238" spans="1:21">
      <c r="A238"/>
      <c r="M238">
        <f t="shared" si="66"/>
        <v>0</v>
      </c>
      <c r="N238">
        <f t="shared" si="67"/>
        <v>0</v>
      </c>
      <c r="O238">
        <f t="shared" si="68"/>
        <v>0</v>
      </c>
      <c r="P238">
        <f t="shared" si="69"/>
        <v>0</v>
      </c>
      <c r="Q238">
        <f t="shared" si="65"/>
        <v>0</v>
      </c>
      <c r="T238" s="79"/>
      <c r="U238" s="79"/>
    </row>
    <row r="239" spans="1:21">
      <c r="A239"/>
      <c r="M239">
        <f t="shared" si="66"/>
        <v>0</v>
      </c>
      <c r="N239">
        <f t="shared" si="67"/>
        <v>0</v>
      </c>
      <c r="O239">
        <f t="shared" si="68"/>
        <v>0</v>
      </c>
      <c r="P239">
        <f t="shared" si="69"/>
        <v>0</v>
      </c>
      <c r="Q239">
        <f t="shared" si="65"/>
        <v>0</v>
      </c>
      <c r="T239" s="79"/>
      <c r="U239" s="79"/>
    </row>
    <row r="240" spans="1:21">
      <c r="A240"/>
      <c r="M240">
        <f t="shared" si="66"/>
        <v>0</v>
      </c>
      <c r="N240">
        <f t="shared" si="67"/>
        <v>0</v>
      </c>
      <c r="O240">
        <f t="shared" si="68"/>
        <v>0</v>
      </c>
      <c r="P240">
        <f t="shared" si="69"/>
        <v>0</v>
      </c>
      <c r="Q240">
        <f t="shared" si="65"/>
        <v>0</v>
      </c>
      <c r="T240" s="79"/>
      <c r="U240" s="79"/>
    </row>
    <row r="241" spans="1:21">
      <c r="A241"/>
      <c r="M241">
        <f t="shared" si="66"/>
        <v>0</v>
      </c>
      <c r="N241">
        <f t="shared" si="67"/>
        <v>0</v>
      </c>
      <c r="O241">
        <f t="shared" si="68"/>
        <v>0</v>
      </c>
      <c r="P241">
        <f t="shared" si="69"/>
        <v>0</v>
      </c>
      <c r="Q241">
        <f t="shared" si="65"/>
        <v>0</v>
      </c>
      <c r="T241" s="79"/>
      <c r="U241" s="79"/>
    </row>
    <row r="242" spans="1:21">
      <c r="A242"/>
      <c r="M242">
        <f t="shared" si="66"/>
        <v>0</v>
      </c>
      <c r="N242">
        <f t="shared" si="67"/>
        <v>0</v>
      </c>
      <c r="O242">
        <f t="shared" si="68"/>
        <v>0</v>
      </c>
      <c r="P242">
        <f t="shared" si="69"/>
        <v>0</v>
      </c>
      <c r="Q242">
        <f t="shared" si="65"/>
        <v>0</v>
      </c>
      <c r="T242" s="79"/>
      <c r="U242" s="79"/>
    </row>
    <row r="243" spans="1:21">
      <c r="A243"/>
      <c r="M243">
        <f t="shared" si="66"/>
        <v>0</v>
      </c>
      <c r="N243">
        <f t="shared" si="67"/>
        <v>0</v>
      </c>
      <c r="O243">
        <f t="shared" si="68"/>
        <v>0</v>
      </c>
      <c r="P243">
        <f t="shared" si="69"/>
        <v>0</v>
      </c>
      <c r="Q243">
        <f t="shared" si="65"/>
        <v>0</v>
      </c>
      <c r="T243" s="79"/>
      <c r="U243" s="79"/>
    </row>
    <row r="244" spans="1:21">
      <c r="A244"/>
      <c r="M244">
        <f t="shared" si="66"/>
        <v>0</v>
      </c>
      <c r="N244">
        <f t="shared" si="67"/>
        <v>0</v>
      </c>
      <c r="O244">
        <f t="shared" si="68"/>
        <v>0</v>
      </c>
      <c r="P244">
        <f t="shared" si="69"/>
        <v>0</v>
      </c>
      <c r="Q244">
        <f t="shared" si="65"/>
        <v>0</v>
      </c>
      <c r="T244" s="79"/>
      <c r="U244" s="79"/>
    </row>
    <row r="245" spans="1:21">
      <c r="A245"/>
      <c r="M245">
        <f t="shared" si="66"/>
        <v>0</v>
      </c>
      <c r="N245">
        <f t="shared" si="67"/>
        <v>0</v>
      </c>
      <c r="O245">
        <f t="shared" si="68"/>
        <v>0</v>
      </c>
      <c r="P245">
        <f t="shared" si="69"/>
        <v>0</v>
      </c>
      <c r="Q245">
        <f t="shared" si="65"/>
        <v>0</v>
      </c>
      <c r="T245" s="79"/>
      <c r="U245" s="79"/>
    </row>
    <row r="246" spans="1:21">
      <c r="A246"/>
      <c r="M246">
        <f t="shared" si="66"/>
        <v>0</v>
      </c>
      <c r="N246">
        <f t="shared" si="67"/>
        <v>0</v>
      </c>
      <c r="O246">
        <f t="shared" si="68"/>
        <v>0</v>
      </c>
      <c r="P246">
        <f t="shared" si="69"/>
        <v>0</v>
      </c>
      <c r="Q246">
        <f t="shared" si="65"/>
        <v>0</v>
      </c>
      <c r="T246" s="79"/>
      <c r="U246" s="79"/>
    </row>
    <row r="247" spans="1:21">
      <c r="A247"/>
      <c r="M247">
        <f t="shared" si="66"/>
        <v>0</v>
      </c>
      <c r="N247">
        <f t="shared" si="67"/>
        <v>0</v>
      </c>
      <c r="O247">
        <f t="shared" si="68"/>
        <v>0</v>
      </c>
      <c r="P247">
        <f t="shared" si="69"/>
        <v>0</v>
      </c>
      <c r="Q247">
        <f t="shared" si="65"/>
        <v>0</v>
      </c>
      <c r="T247" s="79"/>
      <c r="U247" s="79"/>
    </row>
    <row r="248" spans="1:21">
      <c r="A248"/>
      <c r="M248">
        <f t="shared" si="66"/>
        <v>0</v>
      </c>
      <c r="N248">
        <f t="shared" si="67"/>
        <v>0</v>
      </c>
      <c r="O248">
        <f t="shared" si="68"/>
        <v>0</v>
      </c>
      <c r="P248">
        <f t="shared" si="69"/>
        <v>0</v>
      </c>
      <c r="Q248">
        <f t="shared" si="65"/>
        <v>0</v>
      </c>
      <c r="T248" s="79"/>
      <c r="U248" s="79"/>
    </row>
    <row r="249" spans="1:21">
      <c r="A249"/>
      <c r="M249">
        <f t="shared" si="66"/>
        <v>0</v>
      </c>
      <c r="N249">
        <f t="shared" si="67"/>
        <v>0</v>
      </c>
      <c r="O249">
        <f t="shared" si="68"/>
        <v>0</v>
      </c>
      <c r="P249">
        <f t="shared" si="69"/>
        <v>0</v>
      </c>
      <c r="Q249">
        <f t="shared" si="65"/>
        <v>0</v>
      </c>
      <c r="T249" s="79"/>
      <c r="U249" s="79"/>
    </row>
    <row r="250" spans="1:21">
      <c r="A250"/>
      <c r="M250">
        <f t="shared" si="66"/>
        <v>0</v>
      </c>
      <c r="N250">
        <f t="shared" si="67"/>
        <v>0</v>
      </c>
      <c r="O250">
        <f t="shared" si="68"/>
        <v>0</v>
      </c>
      <c r="P250">
        <f t="shared" si="69"/>
        <v>0</v>
      </c>
      <c r="Q250">
        <f t="shared" si="65"/>
        <v>0</v>
      </c>
      <c r="T250" s="79"/>
      <c r="U250" s="79"/>
    </row>
    <row r="251" spans="1:21">
      <c r="A251"/>
      <c r="M251">
        <f t="shared" si="66"/>
        <v>0</v>
      </c>
      <c r="N251">
        <f t="shared" si="67"/>
        <v>0</v>
      </c>
      <c r="O251">
        <f t="shared" si="68"/>
        <v>0</v>
      </c>
      <c r="P251">
        <f t="shared" si="69"/>
        <v>0</v>
      </c>
      <c r="Q251">
        <f t="shared" si="65"/>
        <v>0</v>
      </c>
      <c r="T251" s="79"/>
      <c r="U251" s="79"/>
    </row>
    <row r="252" spans="1:21">
      <c r="A252"/>
      <c r="M252">
        <f t="shared" si="66"/>
        <v>0</v>
      </c>
      <c r="N252">
        <f t="shared" si="67"/>
        <v>0</v>
      </c>
      <c r="O252">
        <f t="shared" si="68"/>
        <v>0</v>
      </c>
      <c r="P252">
        <f t="shared" si="69"/>
        <v>0</v>
      </c>
      <c r="Q252">
        <f t="shared" si="65"/>
        <v>0</v>
      </c>
      <c r="T252" s="79"/>
      <c r="U252" s="79"/>
    </row>
    <row r="253" spans="1:21">
      <c r="A253"/>
      <c r="M253">
        <f t="shared" si="66"/>
        <v>0</v>
      </c>
      <c r="N253">
        <f t="shared" si="67"/>
        <v>0</v>
      </c>
      <c r="O253">
        <f t="shared" si="68"/>
        <v>0</v>
      </c>
      <c r="P253">
        <f t="shared" si="69"/>
        <v>0</v>
      </c>
      <c r="Q253">
        <f t="shared" si="65"/>
        <v>0</v>
      </c>
      <c r="T253" s="79"/>
      <c r="U253" s="79"/>
    </row>
    <row r="254" spans="1:21">
      <c r="A254"/>
      <c r="M254">
        <f t="shared" si="66"/>
        <v>0</v>
      </c>
      <c r="N254">
        <f t="shared" si="67"/>
        <v>0</v>
      </c>
      <c r="O254">
        <f t="shared" si="68"/>
        <v>0</v>
      </c>
      <c r="P254">
        <f t="shared" si="69"/>
        <v>0</v>
      </c>
      <c r="Q254">
        <f t="shared" si="65"/>
        <v>0</v>
      </c>
      <c r="T254" s="79"/>
      <c r="U254" s="79"/>
    </row>
    <row r="255" spans="1:21">
      <c r="A255"/>
      <c r="M255">
        <f t="shared" si="66"/>
        <v>0</v>
      </c>
      <c r="N255">
        <f t="shared" si="67"/>
        <v>0</v>
      </c>
      <c r="O255">
        <f t="shared" si="68"/>
        <v>0</v>
      </c>
      <c r="P255">
        <f t="shared" si="69"/>
        <v>0</v>
      </c>
      <c r="Q255">
        <f t="shared" si="65"/>
        <v>0</v>
      </c>
      <c r="T255" s="79"/>
      <c r="U255" s="79"/>
    </row>
    <row r="256" spans="1:21">
      <c r="A256"/>
      <c r="M256">
        <f t="shared" si="66"/>
        <v>0</v>
      </c>
      <c r="N256">
        <f t="shared" si="67"/>
        <v>0</v>
      </c>
      <c r="O256">
        <f t="shared" si="68"/>
        <v>0</v>
      </c>
      <c r="P256">
        <f t="shared" si="69"/>
        <v>0</v>
      </c>
      <c r="Q256">
        <f t="shared" si="65"/>
        <v>0</v>
      </c>
      <c r="T256" s="79"/>
      <c r="U256" s="79"/>
    </row>
    <row r="257" spans="1:21">
      <c r="A257"/>
      <c r="M257">
        <f t="shared" si="66"/>
        <v>0</v>
      </c>
      <c r="N257">
        <f t="shared" si="67"/>
        <v>0</v>
      </c>
      <c r="O257">
        <f t="shared" si="68"/>
        <v>0</v>
      </c>
      <c r="P257">
        <f t="shared" si="69"/>
        <v>0</v>
      </c>
      <c r="Q257">
        <f t="shared" si="65"/>
        <v>0</v>
      </c>
      <c r="T257" s="79"/>
      <c r="U257" s="79"/>
    </row>
    <row r="258" spans="1:21">
      <c r="A258"/>
      <c r="M258">
        <f t="shared" si="66"/>
        <v>0</v>
      </c>
      <c r="N258">
        <f t="shared" si="67"/>
        <v>0</v>
      </c>
      <c r="O258">
        <f t="shared" si="68"/>
        <v>0</v>
      </c>
      <c r="P258">
        <f t="shared" si="69"/>
        <v>0</v>
      </c>
      <c r="Q258">
        <f t="shared" si="65"/>
        <v>0</v>
      </c>
      <c r="T258" s="79"/>
      <c r="U258" s="79"/>
    </row>
    <row r="259" spans="1:21">
      <c r="A259"/>
      <c r="M259">
        <f t="shared" si="66"/>
        <v>0</v>
      </c>
      <c r="N259">
        <f t="shared" si="67"/>
        <v>0</v>
      </c>
      <c r="O259">
        <f t="shared" si="68"/>
        <v>0</v>
      </c>
      <c r="P259">
        <f t="shared" si="69"/>
        <v>0</v>
      </c>
      <c r="Q259">
        <f t="shared" si="65"/>
        <v>0</v>
      </c>
      <c r="T259" s="79"/>
      <c r="U259" s="79"/>
    </row>
    <row r="260" spans="1:21">
      <c r="A260"/>
      <c r="M260">
        <f t="shared" si="66"/>
        <v>0</v>
      </c>
      <c r="N260">
        <f t="shared" si="67"/>
        <v>0</v>
      </c>
      <c r="O260">
        <f t="shared" si="68"/>
        <v>0</v>
      </c>
      <c r="P260">
        <f t="shared" si="69"/>
        <v>0</v>
      </c>
      <c r="Q260">
        <f t="shared" si="65"/>
        <v>0</v>
      </c>
      <c r="T260" s="79"/>
      <c r="U260" s="79"/>
    </row>
    <row r="261" spans="1:21">
      <c r="A261"/>
      <c r="M261">
        <f t="shared" si="66"/>
        <v>0</v>
      </c>
      <c r="N261">
        <f t="shared" si="67"/>
        <v>0</v>
      </c>
      <c r="O261">
        <f t="shared" si="68"/>
        <v>0</v>
      </c>
      <c r="P261">
        <f t="shared" si="69"/>
        <v>0</v>
      </c>
      <c r="Q261">
        <f t="shared" si="65"/>
        <v>0</v>
      </c>
      <c r="T261" s="79"/>
      <c r="U261" s="79"/>
    </row>
    <row r="262" spans="1:21">
      <c r="A262"/>
      <c r="M262">
        <f t="shared" si="66"/>
        <v>0</v>
      </c>
      <c r="N262">
        <f t="shared" si="67"/>
        <v>0</v>
      </c>
      <c r="O262">
        <f t="shared" si="68"/>
        <v>0</v>
      </c>
      <c r="P262">
        <f t="shared" si="69"/>
        <v>0</v>
      </c>
      <c r="Q262">
        <f t="shared" si="65"/>
        <v>0</v>
      </c>
      <c r="T262" s="79"/>
      <c r="U262" s="79"/>
    </row>
    <row r="263" spans="1:21">
      <c r="A263"/>
      <c r="M263">
        <f t="shared" si="66"/>
        <v>0</v>
      </c>
      <c r="N263">
        <f t="shared" si="67"/>
        <v>0</v>
      </c>
      <c r="O263">
        <f t="shared" si="68"/>
        <v>0</v>
      </c>
      <c r="P263">
        <f t="shared" si="69"/>
        <v>0</v>
      </c>
      <c r="Q263">
        <f t="shared" si="65"/>
        <v>0</v>
      </c>
      <c r="T263" s="79"/>
      <c r="U263" s="79"/>
    </row>
    <row r="264" spans="1:21">
      <c r="A264"/>
      <c r="M264">
        <f t="shared" si="66"/>
        <v>0</v>
      </c>
      <c r="N264">
        <f t="shared" si="67"/>
        <v>0</v>
      </c>
      <c r="O264">
        <f t="shared" si="68"/>
        <v>0</v>
      </c>
      <c r="P264">
        <f t="shared" si="69"/>
        <v>0</v>
      </c>
      <c r="Q264">
        <f t="shared" si="65"/>
        <v>0</v>
      </c>
      <c r="T264" s="79"/>
      <c r="U264" s="79"/>
    </row>
    <row r="265" spans="1:21">
      <c r="A265"/>
      <c r="M265">
        <f t="shared" si="66"/>
        <v>0</v>
      </c>
      <c r="N265">
        <f t="shared" si="67"/>
        <v>0</v>
      </c>
      <c r="O265">
        <f t="shared" si="68"/>
        <v>0</v>
      </c>
      <c r="P265">
        <f t="shared" si="69"/>
        <v>0</v>
      </c>
      <c r="Q265">
        <f t="shared" si="65"/>
        <v>0</v>
      </c>
      <c r="T265" s="79"/>
      <c r="U265" s="79"/>
    </row>
    <row r="266" spans="1:21">
      <c r="A266"/>
      <c r="M266">
        <f t="shared" si="66"/>
        <v>0</v>
      </c>
      <c r="N266">
        <f t="shared" si="67"/>
        <v>0</v>
      </c>
      <c r="O266">
        <f t="shared" si="68"/>
        <v>0</v>
      </c>
      <c r="P266">
        <f t="shared" si="69"/>
        <v>0</v>
      </c>
      <c r="Q266">
        <f t="shared" si="65"/>
        <v>0</v>
      </c>
      <c r="T266" s="79"/>
      <c r="U266" s="79"/>
    </row>
    <row r="267" spans="1:21">
      <c r="A267"/>
      <c r="M267">
        <f t="shared" si="66"/>
        <v>0</v>
      </c>
      <c r="N267">
        <f t="shared" si="67"/>
        <v>0</v>
      </c>
      <c r="O267">
        <f t="shared" si="68"/>
        <v>0</v>
      </c>
      <c r="P267">
        <f t="shared" si="69"/>
        <v>0</v>
      </c>
      <c r="Q267">
        <f t="shared" si="65"/>
        <v>0</v>
      </c>
      <c r="T267" s="79"/>
      <c r="U267" s="79"/>
    </row>
    <row r="268" spans="1:21">
      <c r="A268"/>
      <c r="M268">
        <f t="shared" si="66"/>
        <v>0</v>
      </c>
      <c r="N268">
        <f t="shared" si="67"/>
        <v>0</v>
      </c>
      <c r="O268">
        <f t="shared" si="68"/>
        <v>0</v>
      </c>
      <c r="P268">
        <f t="shared" si="69"/>
        <v>0</v>
      </c>
      <c r="Q268">
        <f t="shared" si="65"/>
        <v>0</v>
      </c>
      <c r="T268" s="79"/>
      <c r="U268" s="79"/>
    </row>
    <row r="269" spans="1:21">
      <c r="A269"/>
      <c r="M269">
        <f t="shared" si="66"/>
        <v>0</v>
      </c>
      <c r="N269">
        <f t="shared" si="67"/>
        <v>0</v>
      </c>
      <c r="O269">
        <f t="shared" si="68"/>
        <v>0</v>
      </c>
      <c r="P269">
        <f t="shared" si="69"/>
        <v>0</v>
      </c>
      <c r="Q269">
        <f t="shared" ref="Q269:Q332" si="70">A269</f>
        <v>0</v>
      </c>
      <c r="T269" s="79"/>
      <c r="U269" s="79"/>
    </row>
    <row r="270" spans="1:21">
      <c r="A270"/>
      <c r="M270">
        <f t="shared" si="66"/>
        <v>0</v>
      </c>
      <c r="N270">
        <f t="shared" si="67"/>
        <v>0</v>
      </c>
      <c r="O270">
        <f t="shared" si="68"/>
        <v>0</v>
      </c>
      <c r="P270">
        <f t="shared" si="69"/>
        <v>0</v>
      </c>
      <c r="Q270">
        <f t="shared" si="70"/>
        <v>0</v>
      </c>
      <c r="T270" s="79"/>
      <c r="U270" s="79"/>
    </row>
    <row r="271" spans="1:21">
      <c r="A271"/>
      <c r="M271">
        <f t="shared" ref="M271:M334" si="71">IF(A271&gt;50,0,IF(A271&gt;25,5,IF(A271&gt;15,10,IF(A271&gt;10,15,IF(A271&gt;5,20,IF(A271&gt;4,25,IF(A271&gt;3,30,IF(A271&gt;2,35,IF(A271&gt;1,45,IF(A271=1,75,0))))))))))</f>
        <v>0</v>
      </c>
      <c r="N271">
        <f t="shared" ref="N271:N334" si="72">IF(A271&gt;50,0,IF(A271&gt;25,5,IF(A271&gt;15,10,IF(A271&gt;10,20,IF(A271&gt;5,30,IF(A271&gt;4,40,IF(A271&gt;3,50,IF(A271&gt;2,60,IF(A271&gt;1,70,IF(A271=1,125,0))))))))))</f>
        <v>0</v>
      </c>
      <c r="O271">
        <f t="shared" ref="O271:O334" si="73">IF(A271&gt;50,0,IF(A271&gt;25,10,IF(A271&gt;15,15,IF(A271&gt;10,30,IF(A271&gt;5,40,IF(A271&gt;4,50,IF(A271&gt;3,60,IF(A271&gt;2,70,IF(A271&gt;1,90,IF(A271=1,150,0))))))))))</f>
        <v>0</v>
      </c>
      <c r="P271">
        <f t="shared" ref="P271:P334" si="74">IF(A271&gt;50,0,IF(A271&gt;25,15,IF(A271&gt;15,20,IF(A271&gt;10,40,IF(A271&gt;5,60,IF(A271&gt;4,80,IF(A271&gt;3,100,IF(A271&gt;2,120,IF(A271&gt;1,140,IF(A271=1,250,0))))))))))</f>
        <v>0</v>
      </c>
      <c r="Q271">
        <f t="shared" si="70"/>
        <v>0</v>
      </c>
      <c r="T271" s="79"/>
      <c r="U271" s="79"/>
    </row>
    <row r="272" spans="1:21">
      <c r="A272"/>
      <c r="M272">
        <f t="shared" si="71"/>
        <v>0</v>
      </c>
      <c r="N272">
        <f t="shared" si="72"/>
        <v>0</v>
      </c>
      <c r="O272">
        <f t="shared" si="73"/>
        <v>0</v>
      </c>
      <c r="P272">
        <f t="shared" si="74"/>
        <v>0</v>
      </c>
      <c r="Q272">
        <f t="shared" si="70"/>
        <v>0</v>
      </c>
      <c r="T272" s="79"/>
      <c r="U272" s="79"/>
    </row>
    <row r="273" spans="1:21">
      <c r="A273"/>
      <c r="M273">
        <f t="shared" si="71"/>
        <v>0</v>
      </c>
      <c r="N273">
        <f t="shared" si="72"/>
        <v>0</v>
      </c>
      <c r="O273">
        <f t="shared" si="73"/>
        <v>0</v>
      </c>
      <c r="P273">
        <f t="shared" si="74"/>
        <v>0</v>
      </c>
      <c r="Q273">
        <f t="shared" si="70"/>
        <v>0</v>
      </c>
      <c r="T273" s="79"/>
      <c r="U273" s="79"/>
    </row>
    <row r="274" spans="1:21">
      <c r="A274"/>
      <c r="M274">
        <f t="shared" si="71"/>
        <v>0</v>
      </c>
      <c r="N274">
        <f t="shared" si="72"/>
        <v>0</v>
      </c>
      <c r="O274">
        <f t="shared" si="73"/>
        <v>0</v>
      </c>
      <c r="P274">
        <f t="shared" si="74"/>
        <v>0</v>
      </c>
      <c r="Q274">
        <f t="shared" si="70"/>
        <v>0</v>
      </c>
      <c r="T274" s="79"/>
      <c r="U274" s="79"/>
    </row>
    <row r="275" spans="1:21">
      <c r="A275"/>
      <c r="M275">
        <f t="shared" si="71"/>
        <v>0</v>
      </c>
      <c r="N275">
        <f t="shared" si="72"/>
        <v>0</v>
      </c>
      <c r="O275">
        <f t="shared" si="73"/>
        <v>0</v>
      </c>
      <c r="P275">
        <f t="shared" si="74"/>
        <v>0</v>
      </c>
      <c r="Q275">
        <f t="shared" si="70"/>
        <v>0</v>
      </c>
      <c r="T275" s="79"/>
      <c r="U275" s="79"/>
    </row>
    <row r="276" spans="1:21">
      <c r="A276"/>
      <c r="M276">
        <f t="shared" si="71"/>
        <v>0</v>
      </c>
      <c r="N276">
        <f t="shared" si="72"/>
        <v>0</v>
      </c>
      <c r="O276">
        <f t="shared" si="73"/>
        <v>0</v>
      </c>
      <c r="P276">
        <f t="shared" si="74"/>
        <v>0</v>
      </c>
      <c r="Q276">
        <f t="shared" si="70"/>
        <v>0</v>
      </c>
      <c r="T276" s="79"/>
      <c r="U276" s="79"/>
    </row>
    <row r="277" spans="1:21">
      <c r="A277"/>
      <c r="M277">
        <f t="shared" si="71"/>
        <v>0</v>
      </c>
      <c r="N277">
        <f t="shared" si="72"/>
        <v>0</v>
      </c>
      <c r="O277">
        <f t="shared" si="73"/>
        <v>0</v>
      </c>
      <c r="P277">
        <f t="shared" si="74"/>
        <v>0</v>
      </c>
      <c r="Q277">
        <f t="shared" si="70"/>
        <v>0</v>
      </c>
      <c r="T277" s="79"/>
      <c r="U277" s="79"/>
    </row>
    <row r="278" spans="1:21">
      <c r="A278"/>
      <c r="M278">
        <f t="shared" si="71"/>
        <v>0</v>
      </c>
      <c r="N278">
        <f t="shared" si="72"/>
        <v>0</v>
      </c>
      <c r="O278">
        <f t="shared" si="73"/>
        <v>0</v>
      </c>
      <c r="P278">
        <f t="shared" si="74"/>
        <v>0</v>
      </c>
      <c r="Q278">
        <f t="shared" si="70"/>
        <v>0</v>
      </c>
      <c r="T278" s="79"/>
      <c r="U278" s="79"/>
    </row>
    <row r="279" spans="1:21">
      <c r="A279"/>
      <c r="M279">
        <f t="shared" si="71"/>
        <v>0</v>
      </c>
      <c r="N279">
        <f t="shared" si="72"/>
        <v>0</v>
      </c>
      <c r="O279">
        <f t="shared" si="73"/>
        <v>0</v>
      </c>
      <c r="P279">
        <f t="shared" si="74"/>
        <v>0</v>
      </c>
      <c r="Q279">
        <f t="shared" si="70"/>
        <v>0</v>
      </c>
      <c r="T279" s="79"/>
      <c r="U279" s="79"/>
    </row>
    <row r="280" spans="1:21">
      <c r="A280"/>
      <c r="M280">
        <f t="shared" si="71"/>
        <v>0</v>
      </c>
      <c r="N280">
        <f t="shared" si="72"/>
        <v>0</v>
      </c>
      <c r="O280">
        <f t="shared" si="73"/>
        <v>0</v>
      </c>
      <c r="P280">
        <f t="shared" si="74"/>
        <v>0</v>
      </c>
      <c r="Q280">
        <f t="shared" si="70"/>
        <v>0</v>
      </c>
      <c r="T280" s="79"/>
      <c r="U280" s="79"/>
    </row>
    <row r="281" spans="1:21">
      <c r="A281"/>
      <c r="M281">
        <f t="shared" si="71"/>
        <v>0</v>
      </c>
      <c r="N281">
        <f t="shared" si="72"/>
        <v>0</v>
      </c>
      <c r="O281">
        <f t="shared" si="73"/>
        <v>0</v>
      </c>
      <c r="P281">
        <f t="shared" si="74"/>
        <v>0</v>
      </c>
      <c r="Q281">
        <f t="shared" si="70"/>
        <v>0</v>
      </c>
      <c r="T281" s="79"/>
      <c r="U281" s="79"/>
    </row>
    <row r="282" spans="1:21">
      <c r="A282"/>
      <c r="M282">
        <f t="shared" si="71"/>
        <v>0</v>
      </c>
      <c r="N282">
        <f t="shared" si="72"/>
        <v>0</v>
      </c>
      <c r="O282">
        <f t="shared" si="73"/>
        <v>0</v>
      </c>
      <c r="P282">
        <f t="shared" si="74"/>
        <v>0</v>
      </c>
      <c r="Q282">
        <f t="shared" si="70"/>
        <v>0</v>
      </c>
      <c r="T282" s="79"/>
      <c r="U282" s="79"/>
    </row>
    <row r="283" spans="1:21">
      <c r="A283"/>
      <c r="M283">
        <f t="shared" si="71"/>
        <v>0</v>
      </c>
      <c r="N283">
        <f t="shared" si="72"/>
        <v>0</v>
      </c>
      <c r="O283">
        <f t="shared" si="73"/>
        <v>0</v>
      </c>
      <c r="P283">
        <f t="shared" si="74"/>
        <v>0</v>
      </c>
      <c r="Q283">
        <f t="shared" si="70"/>
        <v>0</v>
      </c>
      <c r="T283" s="79"/>
      <c r="U283" s="79"/>
    </row>
    <row r="284" spans="1:21">
      <c r="A284"/>
      <c r="M284">
        <f t="shared" si="71"/>
        <v>0</v>
      </c>
      <c r="N284">
        <f t="shared" si="72"/>
        <v>0</v>
      </c>
      <c r="O284">
        <f t="shared" si="73"/>
        <v>0</v>
      </c>
      <c r="P284">
        <f t="shared" si="74"/>
        <v>0</v>
      </c>
      <c r="Q284">
        <f t="shared" si="70"/>
        <v>0</v>
      </c>
      <c r="T284" s="79"/>
      <c r="U284" s="79"/>
    </row>
    <row r="285" spans="1:21">
      <c r="A285"/>
      <c r="M285">
        <f t="shared" si="71"/>
        <v>0</v>
      </c>
      <c r="N285">
        <f t="shared" si="72"/>
        <v>0</v>
      </c>
      <c r="O285">
        <f t="shared" si="73"/>
        <v>0</v>
      </c>
      <c r="P285">
        <f t="shared" si="74"/>
        <v>0</v>
      </c>
      <c r="Q285">
        <f t="shared" si="70"/>
        <v>0</v>
      </c>
      <c r="T285" s="79"/>
      <c r="U285" s="79"/>
    </row>
    <row r="286" spans="1:21">
      <c r="A286"/>
      <c r="M286">
        <f t="shared" si="71"/>
        <v>0</v>
      </c>
      <c r="N286">
        <f t="shared" si="72"/>
        <v>0</v>
      </c>
      <c r="O286">
        <f t="shared" si="73"/>
        <v>0</v>
      </c>
      <c r="P286">
        <f t="shared" si="74"/>
        <v>0</v>
      </c>
      <c r="Q286">
        <f t="shared" si="70"/>
        <v>0</v>
      </c>
      <c r="T286" s="79"/>
      <c r="U286" s="79"/>
    </row>
    <row r="287" spans="1:21">
      <c r="A287"/>
      <c r="M287">
        <f t="shared" si="71"/>
        <v>0</v>
      </c>
      <c r="N287">
        <f t="shared" si="72"/>
        <v>0</v>
      </c>
      <c r="O287">
        <f t="shared" si="73"/>
        <v>0</v>
      </c>
      <c r="P287">
        <f t="shared" si="74"/>
        <v>0</v>
      </c>
      <c r="Q287">
        <f t="shared" si="70"/>
        <v>0</v>
      </c>
      <c r="T287" s="79"/>
      <c r="U287" s="79"/>
    </row>
    <row r="288" spans="1:21">
      <c r="A288"/>
      <c r="M288">
        <f t="shared" si="71"/>
        <v>0</v>
      </c>
      <c r="N288">
        <f t="shared" si="72"/>
        <v>0</v>
      </c>
      <c r="O288">
        <f t="shared" si="73"/>
        <v>0</v>
      </c>
      <c r="P288">
        <f t="shared" si="74"/>
        <v>0</v>
      </c>
      <c r="Q288">
        <f t="shared" si="70"/>
        <v>0</v>
      </c>
      <c r="T288" s="79"/>
      <c r="U288" s="79"/>
    </row>
    <row r="289" spans="1:21">
      <c r="A289"/>
      <c r="M289">
        <f t="shared" si="71"/>
        <v>0</v>
      </c>
      <c r="N289">
        <f t="shared" si="72"/>
        <v>0</v>
      </c>
      <c r="O289">
        <f t="shared" si="73"/>
        <v>0</v>
      </c>
      <c r="P289">
        <f t="shared" si="74"/>
        <v>0</v>
      </c>
      <c r="Q289">
        <f t="shared" si="70"/>
        <v>0</v>
      </c>
      <c r="T289" s="79"/>
      <c r="U289" s="79"/>
    </row>
    <row r="290" spans="1:21">
      <c r="A290"/>
      <c r="M290">
        <f t="shared" si="71"/>
        <v>0</v>
      </c>
      <c r="N290">
        <f t="shared" si="72"/>
        <v>0</v>
      </c>
      <c r="O290">
        <f t="shared" si="73"/>
        <v>0</v>
      </c>
      <c r="P290">
        <f t="shared" si="74"/>
        <v>0</v>
      </c>
      <c r="Q290">
        <f t="shared" si="70"/>
        <v>0</v>
      </c>
      <c r="T290" s="79"/>
      <c r="U290" s="79"/>
    </row>
    <row r="291" spans="1:21">
      <c r="A291"/>
      <c r="M291">
        <f t="shared" si="71"/>
        <v>0</v>
      </c>
      <c r="N291">
        <f t="shared" si="72"/>
        <v>0</v>
      </c>
      <c r="O291">
        <f t="shared" si="73"/>
        <v>0</v>
      </c>
      <c r="P291">
        <f t="shared" si="74"/>
        <v>0</v>
      </c>
      <c r="Q291">
        <f t="shared" si="70"/>
        <v>0</v>
      </c>
      <c r="T291" s="79"/>
      <c r="U291" s="79"/>
    </row>
    <row r="292" spans="1:21">
      <c r="A292"/>
      <c r="M292">
        <f t="shared" si="71"/>
        <v>0</v>
      </c>
      <c r="N292">
        <f t="shared" si="72"/>
        <v>0</v>
      </c>
      <c r="O292">
        <f t="shared" si="73"/>
        <v>0</v>
      </c>
      <c r="P292">
        <f t="shared" si="74"/>
        <v>0</v>
      </c>
      <c r="Q292">
        <f t="shared" si="70"/>
        <v>0</v>
      </c>
      <c r="T292" s="79"/>
      <c r="U292" s="79"/>
    </row>
    <row r="293" spans="1:21">
      <c r="A293"/>
      <c r="M293">
        <f t="shared" si="71"/>
        <v>0</v>
      </c>
      <c r="N293">
        <f t="shared" si="72"/>
        <v>0</v>
      </c>
      <c r="O293">
        <f t="shared" si="73"/>
        <v>0</v>
      </c>
      <c r="P293">
        <f t="shared" si="74"/>
        <v>0</v>
      </c>
      <c r="Q293">
        <f t="shared" si="70"/>
        <v>0</v>
      </c>
      <c r="T293" s="79"/>
      <c r="U293" s="79"/>
    </row>
    <row r="294" spans="1:21">
      <c r="A294"/>
      <c r="M294">
        <f t="shared" si="71"/>
        <v>0</v>
      </c>
      <c r="N294">
        <f t="shared" si="72"/>
        <v>0</v>
      </c>
      <c r="O294">
        <f t="shared" si="73"/>
        <v>0</v>
      </c>
      <c r="P294">
        <f t="shared" si="74"/>
        <v>0</v>
      </c>
      <c r="Q294">
        <f t="shared" si="70"/>
        <v>0</v>
      </c>
      <c r="T294" s="79"/>
      <c r="U294" s="79"/>
    </row>
    <row r="295" spans="1:21">
      <c r="A295"/>
      <c r="M295">
        <f t="shared" si="71"/>
        <v>0</v>
      </c>
      <c r="N295">
        <f t="shared" si="72"/>
        <v>0</v>
      </c>
      <c r="O295">
        <f t="shared" si="73"/>
        <v>0</v>
      </c>
      <c r="P295">
        <f t="shared" si="74"/>
        <v>0</v>
      </c>
      <c r="Q295">
        <f t="shared" si="70"/>
        <v>0</v>
      </c>
      <c r="T295" s="79"/>
      <c r="U295" s="79"/>
    </row>
    <row r="296" spans="1:21">
      <c r="A296"/>
      <c r="M296">
        <f t="shared" si="71"/>
        <v>0</v>
      </c>
      <c r="N296">
        <f t="shared" si="72"/>
        <v>0</v>
      </c>
      <c r="O296">
        <f t="shared" si="73"/>
        <v>0</v>
      </c>
      <c r="P296">
        <f t="shared" si="74"/>
        <v>0</v>
      </c>
      <c r="Q296">
        <f t="shared" si="70"/>
        <v>0</v>
      </c>
      <c r="T296" s="79"/>
      <c r="U296" s="79"/>
    </row>
    <row r="297" spans="1:21">
      <c r="A297"/>
      <c r="M297">
        <f t="shared" si="71"/>
        <v>0</v>
      </c>
      <c r="N297">
        <f t="shared" si="72"/>
        <v>0</v>
      </c>
      <c r="O297">
        <f t="shared" si="73"/>
        <v>0</v>
      </c>
      <c r="P297">
        <f t="shared" si="74"/>
        <v>0</v>
      </c>
      <c r="Q297">
        <f t="shared" si="70"/>
        <v>0</v>
      </c>
      <c r="T297" s="79"/>
      <c r="U297" s="79"/>
    </row>
    <row r="298" spans="1:21">
      <c r="A298"/>
      <c r="M298">
        <f t="shared" si="71"/>
        <v>0</v>
      </c>
      <c r="N298">
        <f t="shared" si="72"/>
        <v>0</v>
      </c>
      <c r="O298">
        <f t="shared" si="73"/>
        <v>0</v>
      </c>
      <c r="P298">
        <f t="shared" si="74"/>
        <v>0</v>
      </c>
      <c r="Q298">
        <f t="shared" si="70"/>
        <v>0</v>
      </c>
      <c r="T298" s="79"/>
      <c r="U298" s="79"/>
    </row>
    <row r="299" spans="1:21">
      <c r="A299"/>
      <c r="M299">
        <f t="shared" si="71"/>
        <v>0</v>
      </c>
      <c r="N299">
        <f t="shared" si="72"/>
        <v>0</v>
      </c>
      <c r="O299">
        <f t="shared" si="73"/>
        <v>0</v>
      </c>
      <c r="P299">
        <f t="shared" si="74"/>
        <v>0</v>
      </c>
      <c r="Q299">
        <f t="shared" si="70"/>
        <v>0</v>
      </c>
      <c r="T299" s="79"/>
      <c r="U299" s="79"/>
    </row>
    <row r="300" spans="1:21">
      <c r="A300"/>
      <c r="M300">
        <f t="shared" si="71"/>
        <v>0</v>
      </c>
      <c r="N300">
        <f t="shared" si="72"/>
        <v>0</v>
      </c>
      <c r="O300">
        <f t="shared" si="73"/>
        <v>0</v>
      </c>
      <c r="P300">
        <f t="shared" si="74"/>
        <v>0</v>
      </c>
      <c r="Q300">
        <f t="shared" si="70"/>
        <v>0</v>
      </c>
      <c r="T300" s="79"/>
      <c r="U300" s="79"/>
    </row>
    <row r="301" spans="1:21">
      <c r="A301"/>
      <c r="M301">
        <f t="shared" si="71"/>
        <v>0</v>
      </c>
      <c r="N301">
        <f t="shared" si="72"/>
        <v>0</v>
      </c>
      <c r="O301">
        <f t="shared" si="73"/>
        <v>0</v>
      </c>
      <c r="P301">
        <f t="shared" si="74"/>
        <v>0</v>
      </c>
      <c r="Q301">
        <f t="shared" si="70"/>
        <v>0</v>
      </c>
      <c r="T301" s="79"/>
      <c r="U301" s="79"/>
    </row>
    <row r="302" spans="1:21">
      <c r="A302"/>
      <c r="M302">
        <f t="shared" si="71"/>
        <v>0</v>
      </c>
      <c r="N302">
        <f t="shared" si="72"/>
        <v>0</v>
      </c>
      <c r="O302">
        <f t="shared" si="73"/>
        <v>0</v>
      </c>
      <c r="P302">
        <f t="shared" si="74"/>
        <v>0</v>
      </c>
      <c r="Q302">
        <f t="shared" si="70"/>
        <v>0</v>
      </c>
      <c r="T302" s="79"/>
      <c r="U302" s="79"/>
    </row>
    <row r="303" spans="1:21">
      <c r="A303"/>
      <c r="M303">
        <f t="shared" si="71"/>
        <v>0</v>
      </c>
      <c r="N303">
        <f t="shared" si="72"/>
        <v>0</v>
      </c>
      <c r="O303">
        <f t="shared" si="73"/>
        <v>0</v>
      </c>
      <c r="P303">
        <f t="shared" si="74"/>
        <v>0</v>
      </c>
      <c r="Q303">
        <f t="shared" si="70"/>
        <v>0</v>
      </c>
      <c r="T303" s="79"/>
      <c r="U303" s="79"/>
    </row>
    <row r="304" spans="1:21">
      <c r="A304"/>
      <c r="M304">
        <f t="shared" si="71"/>
        <v>0</v>
      </c>
      <c r="N304">
        <f t="shared" si="72"/>
        <v>0</v>
      </c>
      <c r="O304">
        <f t="shared" si="73"/>
        <v>0</v>
      </c>
      <c r="P304">
        <f t="shared" si="74"/>
        <v>0</v>
      </c>
      <c r="Q304">
        <f t="shared" si="70"/>
        <v>0</v>
      </c>
      <c r="T304" s="79"/>
      <c r="U304" s="79"/>
    </row>
    <row r="305" spans="1:21">
      <c r="A305"/>
      <c r="M305">
        <f t="shared" si="71"/>
        <v>0</v>
      </c>
      <c r="N305">
        <f t="shared" si="72"/>
        <v>0</v>
      </c>
      <c r="O305">
        <f t="shared" si="73"/>
        <v>0</v>
      </c>
      <c r="P305">
        <f t="shared" si="74"/>
        <v>0</v>
      </c>
      <c r="Q305">
        <f t="shared" si="70"/>
        <v>0</v>
      </c>
      <c r="T305" s="79"/>
      <c r="U305" s="79"/>
    </row>
    <row r="306" spans="1:21">
      <c r="A306"/>
      <c r="M306">
        <f t="shared" si="71"/>
        <v>0</v>
      </c>
      <c r="N306">
        <f t="shared" si="72"/>
        <v>0</v>
      </c>
      <c r="O306">
        <f t="shared" si="73"/>
        <v>0</v>
      </c>
      <c r="P306">
        <f t="shared" si="74"/>
        <v>0</v>
      </c>
      <c r="Q306">
        <f t="shared" si="70"/>
        <v>0</v>
      </c>
      <c r="T306" s="79"/>
      <c r="U306" s="79"/>
    </row>
    <row r="307" spans="1:21">
      <c r="A307"/>
      <c r="M307">
        <f t="shared" si="71"/>
        <v>0</v>
      </c>
      <c r="N307">
        <f t="shared" si="72"/>
        <v>0</v>
      </c>
      <c r="O307">
        <f t="shared" si="73"/>
        <v>0</v>
      </c>
      <c r="P307">
        <f t="shared" si="74"/>
        <v>0</v>
      </c>
      <c r="Q307">
        <f t="shared" si="70"/>
        <v>0</v>
      </c>
      <c r="T307" s="79"/>
      <c r="U307" s="79"/>
    </row>
    <row r="308" spans="1:21">
      <c r="A308"/>
      <c r="M308">
        <f t="shared" si="71"/>
        <v>0</v>
      </c>
      <c r="N308">
        <f t="shared" si="72"/>
        <v>0</v>
      </c>
      <c r="O308">
        <f t="shared" si="73"/>
        <v>0</v>
      </c>
      <c r="P308">
        <f t="shared" si="74"/>
        <v>0</v>
      </c>
      <c r="Q308">
        <f t="shared" si="70"/>
        <v>0</v>
      </c>
      <c r="T308" s="79"/>
      <c r="U308" s="79"/>
    </row>
    <row r="309" spans="1:21">
      <c r="A309"/>
      <c r="M309">
        <f t="shared" si="71"/>
        <v>0</v>
      </c>
      <c r="N309">
        <f t="shared" si="72"/>
        <v>0</v>
      </c>
      <c r="O309">
        <f t="shared" si="73"/>
        <v>0</v>
      </c>
      <c r="P309">
        <f t="shared" si="74"/>
        <v>0</v>
      </c>
      <c r="Q309">
        <f t="shared" si="70"/>
        <v>0</v>
      </c>
      <c r="T309" s="79"/>
      <c r="U309" s="79"/>
    </row>
    <row r="310" spans="1:21">
      <c r="A310"/>
      <c r="M310">
        <f t="shared" si="71"/>
        <v>0</v>
      </c>
      <c r="N310">
        <f t="shared" si="72"/>
        <v>0</v>
      </c>
      <c r="O310">
        <f t="shared" si="73"/>
        <v>0</v>
      </c>
      <c r="P310">
        <f t="shared" si="74"/>
        <v>0</v>
      </c>
      <c r="Q310">
        <f t="shared" si="70"/>
        <v>0</v>
      </c>
      <c r="T310" s="79"/>
      <c r="U310" s="79"/>
    </row>
    <row r="311" spans="1:21">
      <c r="A311"/>
      <c r="M311">
        <f t="shared" si="71"/>
        <v>0</v>
      </c>
      <c r="N311">
        <f t="shared" si="72"/>
        <v>0</v>
      </c>
      <c r="O311">
        <f t="shared" si="73"/>
        <v>0</v>
      </c>
      <c r="P311">
        <f t="shared" si="74"/>
        <v>0</v>
      </c>
      <c r="Q311">
        <f t="shared" si="70"/>
        <v>0</v>
      </c>
      <c r="T311" s="79"/>
      <c r="U311" s="79"/>
    </row>
    <row r="312" spans="1:21">
      <c r="A312"/>
      <c r="M312">
        <f t="shared" si="71"/>
        <v>0</v>
      </c>
      <c r="N312">
        <f t="shared" si="72"/>
        <v>0</v>
      </c>
      <c r="O312">
        <f t="shared" si="73"/>
        <v>0</v>
      </c>
      <c r="P312">
        <f t="shared" si="74"/>
        <v>0</v>
      </c>
      <c r="Q312">
        <f t="shared" si="70"/>
        <v>0</v>
      </c>
      <c r="T312" s="79"/>
      <c r="U312" s="79"/>
    </row>
    <row r="313" spans="1:21">
      <c r="A313"/>
      <c r="M313">
        <f t="shared" si="71"/>
        <v>0</v>
      </c>
      <c r="N313">
        <f t="shared" si="72"/>
        <v>0</v>
      </c>
      <c r="O313">
        <f t="shared" si="73"/>
        <v>0</v>
      </c>
      <c r="P313">
        <f t="shared" si="74"/>
        <v>0</v>
      </c>
      <c r="Q313">
        <f t="shared" si="70"/>
        <v>0</v>
      </c>
      <c r="T313" s="79"/>
      <c r="U313" s="79"/>
    </row>
    <row r="314" spans="1:21">
      <c r="A314"/>
      <c r="M314">
        <f t="shared" si="71"/>
        <v>0</v>
      </c>
      <c r="N314">
        <f t="shared" si="72"/>
        <v>0</v>
      </c>
      <c r="O314">
        <f t="shared" si="73"/>
        <v>0</v>
      </c>
      <c r="P314">
        <f t="shared" si="74"/>
        <v>0</v>
      </c>
      <c r="Q314">
        <f t="shared" si="70"/>
        <v>0</v>
      </c>
      <c r="T314" s="79"/>
      <c r="U314" s="79"/>
    </row>
    <row r="315" spans="1:21">
      <c r="A315"/>
      <c r="M315">
        <f t="shared" si="71"/>
        <v>0</v>
      </c>
      <c r="N315">
        <f t="shared" si="72"/>
        <v>0</v>
      </c>
      <c r="O315">
        <f t="shared" si="73"/>
        <v>0</v>
      </c>
      <c r="P315">
        <f t="shared" si="74"/>
        <v>0</v>
      </c>
      <c r="Q315">
        <f t="shared" si="70"/>
        <v>0</v>
      </c>
      <c r="T315" s="79"/>
      <c r="U315" s="79"/>
    </row>
    <row r="316" spans="1:21">
      <c r="A316"/>
      <c r="M316">
        <f t="shared" si="71"/>
        <v>0</v>
      </c>
      <c r="N316">
        <f t="shared" si="72"/>
        <v>0</v>
      </c>
      <c r="O316">
        <f t="shared" si="73"/>
        <v>0</v>
      </c>
      <c r="P316">
        <f t="shared" si="74"/>
        <v>0</v>
      </c>
      <c r="Q316">
        <f t="shared" si="70"/>
        <v>0</v>
      </c>
      <c r="T316" s="79"/>
      <c r="U316" s="79"/>
    </row>
    <row r="317" spans="1:21">
      <c r="A317"/>
      <c r="M317">
        <f t="shared" si="71"/>
        <v>0</v>
      </c>
      <c r="N317">
        <f t="shared" si="72"/>
        <v>0</v>
      </c>
      <c r="O317">
        <f t="shared" si="73"/>
        <v>0</v>
      </c>
      <c r="P317">
        <f t="shared" si="74"/>
        <v>0</v>
      </c>
      <c r="Q317">
        <f t="shared" si="70"/>
        <v>0</v>
      </c>
      <c r="T317" s="79"/>
      <c r="U317" s="79"/>
    </row>
    <row r="318" spans="1:21">
      <c r="A318"/>
      <c r="M318">
        <f t="shared" si="71"/>
        <v>0</v>
      </c>
      <c r="N318">
        <f t="shared" si="72"/>
        <v>0</v>
      </c>
      <c r="O318">
        <f t="shared" si="73"/>
        <v>0</v>
      </c>
      <c r="P318">
        <f t="shared" si="74"/>
        <v>0</v>
      </c>
      <c r="Q318">
        <f t="shared" si="70"/>
        <v>0</v>
      </c>
      <c r="T318" s="79"/>
      <c r="U318" s="79"/>
    </row>
    <row r="319" spans="1:21">
      <c r="A319"/>
      <c r="M319">
        <f t="shared" si="71"/>
        <v>0</v>
      </c>
      <c r="N319">
        <f t="shared" si="72"/>
        <v>0</v>
      </c>
      <c r="O319">
        <f t="shared" si="73"/>
        <v>0</v>
      </c>
      <c r="P319">
        <f t="shared" si="74"/>
        <v>0</v>
      </c>
      <c r="Q319">
        <f t="shared" si="70"/>
        <v>0</v>
      </c>
      <c r="T319" s="79"/>
      <c r="U319" s="79"/>
    </row>
    <row r="320" spans="1:21">
      <c r="A320"/>
      <c r="M320">
        <f t="shared" si="71"/>
        <v>0</v>
      </c>
      <c r="N320">
        <f t="shared" si="72"/>
        <v>0</v>
      </c>
      <c r="O320">
        <f t="shared" si="73"/>
        <v>0</v>
      </c>
      <c r="P320">
        <f t="shared" si="74"/>
        <v>0</v>
      </c>
      <c r="Q320">
        <f t="shared" si="70"/>
        <v>0</v>
      </c>
      <c r="T320" s="79"/>
      <c r="U320" s="79"/>
    </row>
    <row r="321" spans="1:21">
      <c r="A321"/>
      <c r="M321">
        <f t="shared" si="71"/>
        <v>0</v>
      </c>
      <c r="N321">
        <f t="shared" si="72"/>
        <v>0</v>
      </c>
      <c r="O321">
        <f t="shared" si="73"/>
        <v>0</v>
      </c>
      <c r="P321">
        <f t="shared" si="74"/>
        <v>0</v>
      </c>
      <c r="Q321">
        <f t="shared" si="70"/>
        <v>0</v>
      </c>
      <c r="T321" s="79"/>
      <c r="U321" s="79"/>
    </row>
    <row r="322" spans="1:21">
      <c r="A322"/>
      <c r="M322">
        <f t="shared" si="71"/>
        <v>0</v>
      </c>
      <c r="N322">
        <f t="shared" si="72"/>
        <v>0</v>
      </c>
      <c r="O322">
        <f t="shared" si="73"/>
        <v>0</v>
      </c>
      <c r="P322">
        <f t="shared" si="74"/>
        <v>0</v>
      </c>
      <c r="Q322">
        <f t="shared" si="70"/>
        <v>0</v>
      </c>
      <c r="T322" s="79"/>
      <c r="U322" s="79"/>
    </row>
    <row r="323" spans="1:21">
      <c r="A323"/>
      <c r="M323">
        <f t="shared" si="71"/>
        <v>0</v>
      </c>
      <c r="N323">
        <f t="shared" si="72"/>
        <v>0</v>
      </c>
      <c r="O323">
        <f t="shared" si="73"/>
        <v>0</v>
      </c>
      <c r="P323">
        <f t="shared" si="74"/>
        <v>0</v>
      </c>
      <c r="Q323">
        <f t="shared" si="70"/>
        <v>0</v>
      </c>
      <c r="T323" s="79"/>
      <c r="U323" s="79"/>
    </row>
    <row r="324" spans="1:21">
      <c r="A324"/>
      <c r="M324">
        <f t="shared" si="71"/>
        <v>0</v>
      </c>
      <c r="N324">
        <f t="shared" si="72"/>
        <v>0</v>
      </c>
      <c r="O324">
        <f t="shared" si="73"/>
        <v>0</v>
      </c>
      <c r="P324">
        <f t="shared" si="74"/>
        <v>0</v>
      </c>
      <c r="Q324">
        <f t="shared" si="70"/>
        <v>0</v>
      </c>
      <c r="T324" s="79"/>
      <c r="U324" s="79"/>
    </row>
    <row r="325" spans="1:21">
      <c r="A325"/>
      <c r="M325">
        <f t="shared" si="71"/>
        <v>0</v>
      </c>
      <c r="N325">
        <f t="shared" si="72"/>
        <v>0</v>
      </c>
      <c r="O325">
        <f t="shared" si="73"/>
        <v>0</v>
      </c>
      <c r="P325">
        <f t="shared" si="74"/>
        <v>0</v>
      </c>
      <c r="Q325">
        <f t="shared" si="70"/>
        <v>0</v>
      </c>
      <c r="T325" s="79"/>
      <c r="U325" s="79"/>
    </row>
    <row r="326" spans="1:21">
      <c r="A326"/>
      <c r="M326">
        <f t="shared" si="71"/>
        <v>0</v>
      </c>
      <c r="N326">
        <f t="shared" si="72"/>
        <v>0</v>
      </c>
      <c r="O326">
        <f t="shared" si="73"/>
        <v>0</v>
      </c>
      <c r="P326">
        <f t="shared" si="74"/>
        <v>0</v>
      </c>
      <c r="Q326">
        <f t="shared" si="70"/>
        <v>0</v>
      </c>
      <c r="T326" s="79"/>
      <c r="U326" s="79"/>
    </row>
    <row r="327" spans="1:21">
      <c r="A327"/>
      <c r="M327">
        <f t="shared" si="71"/>
        <v>0</v>
      </c>
      <c r="N327">
        <f t="shared" si="72"/>
        <v>0</v>
      </c>
      <c r="O327">
        <f t="shared" si="73"/>
        <v>0</v>
      </c>
      <c r="P327">
        <f t="shared" si="74"/>
        <v>0</v>
      </c>
      <c r="Q327">
        <f t="shared" si="70"/>
        <v>0</v>
      </c>
      <c r="T327" s="79"/>
      <c r="U327" s="79"/>
    </row>
    <row r="328" spans="1:21">
      <c r="A328"/>
      <c r="M328">
        <f t="shared" si="71"/>
        <v>0</v>
      </c>
      <c r="N328">
        <f t="shared" si="72"/>
        <v>0</v>
      </c>
      <c r="O328">
        <f t="shared" si="73"/>
        <v>0</v>
      </c>
      <c r="P328">
        <f t="shared" si="74"/>
        <v>0</v>
      </c>
      <c r="Q328">
        <f t="shared" si="70"/>
        <v>0</v>
      </c>
      <c r="T328" s="79"/>
      <c r="U328" s="79"/>
    </row>
    <row r="329" spans="1:21">
      <c r="A329"/>
      <c r="M329">
        <f t="shared" si="71"/>
        <v>0</v>
      </c>
      <c r="N329">
        <f t="shared" si="72"/>
        <v>0</v>
      </c>
      <c r="O329">
        <f t="shared" si="73"/>
        <v>0</v>
      </c>
      <c r="P329">
        <f t="shared" si="74"/>
        <v>0</v>
      </c>
      <c r="Q329">
        <f t="shared" si="70"/>
        <v>0</v>
      </c>
      <c r="T329" s="79"/>
      <c r="U329" s="79"/>
    </row>
    <row r="330" spans="1:21">
      <c r="A330"/>
      <c r="M330">
        <f t="shared" si="71"/>
        <v>0</v>
      </c>
      <c r="N330">
        <f t="shared" si="72"/>
        <v>0</v>
      </c>
      <c r="O330">
        <f t="shared" si="73"/>
        <v>0</v>
      </c>
      <c r="P330">
        <f t="shared" si="74"/>
        <v>0</v>
      </c>
      <c r="Q330">
        <f t="shared" si="70"/>
        <v>0</v>
      </c>
      <c r="T330" s="79"/>
      <c r="U330" s="79"/>
    </row>
    <row r="331" spans="1:21">
      <c r="A331"/>
      <c r="M331">
        <f t="shared" si="71"/>
        <v>0</v>
      </c>
      <c r="N331">
        <f t="shared" si="72"/>
        <v>0</v>
      </c>
      <c r="O331">
        <f t="shared" si="73"/>
        <v>0</v>
      </c>
      <c r="P331">
        <f t="shared" si="74"/>
        <v>0</v>
      </c>
      <c r="Q331">
        <f t="shared" si="70"/>
        <v>0</v>
      </c>
      <c r="T331" s="79"/>
      <c r="U331" s="79"/>
    </row>
    <row r="332" spans="1:21">
      <c r="A332"/>
      <c r="M332">
        <f t="shared" si="71"/>
        <v>0</v>
      </c>
      <c r="N332">
        <f t="shared" si="72"/>
        <v>0</v>
      </c>
      <c r="O332">
        <f t="shared" si="73"/>
        <v>0</v>
      </c>
      <c r="P332">
        <f t="shared" si="74"/>
        <v>0</v>
      </c>
      <c r="Q332">
        <f t="shared" si="70"/>
        <v>0</v>
      </c>
      <c r="T332" s="79"/>
      <c r="U332" s="79"/>
    </row>
    <row r="333" spans="1:21">
      <c r="A333"/>
      <c r="M333">
        <f t="shared" si="71"/>
        <v>0</v>
      </c>
      <c r="N333">
        <f t="shared" si="72"/>
        <v>0</v>
      </c>
      <c r="O333">
        <f t="shared" si="73"/>
        <v>0</v>
      </c>
      <c r="P333">
        <f t="shared" si="74"/>
        <v>0</v>
      </c>
      <c r="Q333">
        <f t="shared" ref="Q333:Q364" si="75">A333</f>
        <v>0</v>
      </c>
      <c r="T333" s="79"/>
      <c r="U333" s="79"/>
    </row>
    <row r="334" spans="1:21">
      <c r="A334"/>
      <c r="M334">
        <f t="shared" si="71"/>
        <v>0</v>
      </c>
      <c r="N334">
        <f t="shared" si="72"/>
        <v>0</v>
      </c>
      <c r="O334">
        <f t="shared" si="73"/>
        <v>0</v>
      </c>
      <c r="P334">
        <f t="shared" si="74"/>
        <v>0</v>
      </c>
      <c r="Q334">
        <f t="shared" si="75"/>
        <v>0</v>
      </c>
      <c r="T334" s="79"/>
      <c r="U334" s="79"/>
    </row>
    <row r="335" spans="1:21">
      <c r="A335"/>
      <c r="M335">
        <f t="shared" ref="M335:M364" si="76">IF(A335&gt;50,0,IF(A335&gt;25,5,IF(A335&gt;15,10,IF(A335&gt;10,15,IF(A335&gt;5,20,IF(A335&gt;4,25,IF(A335&gt;3,30,IF(A335&gt;2,35,IF(A335&gt;1,45,IF(A335=1,75,0))))))))))</f>
        <v>0</v>
      </c>
      <c r="N335">
        <f t="shared" ref="N335:N364" si="77">IF(A335&gt;50,0,IF(A335&gt;25,5,IF(A335&gt;15,10,IF(A335&gt;10,20,IF(A335&gt;5,30,IF(A335&gt;4,40,IF(A335&gt;3,50,IF(A335&gt;2,60,IF(A335&gt;1,70,IF(A335=1,125,0))))))))))</f>
        <v>0</v>
      </c>
      <c r="O335">
        <f t="shared" ref="O335:O364" si="78">IF(A335&gt;50,0,IF(A335&gt;25,10,IF(A335&gt;15,15,IF(A335&gt;10,30,IF(A335&gt;5,40,IF(A335&gt;4,50,IF(A335&gt;3,60,IF(A335&gt;2,70,IF(A335&gt;1,90,IF(A335=1,150,0))))))))))</f>
        <v>0</v>
      </c>
      <c r="P335">
        <f t="shared" ref="P335:P364" si="79">IF(A335&gt;50,0,IF(A335&gt;25,15,IF(A335&gt;15,20,IF(A335&gt;10,40,IF(A335&gt;5,60,IF(A335&gt;4,80,IF(A335&gt;3,100,IF(A335&gt;2,120,IF(A335&gt;1,140,IF(A335=1,250,0))))))))))</f>
        <v>0</v>
      </c>
      <c r="Q335">
        <f t="shared" si="75"/>
        <v>0</v>
      </c>
      <c r="T335" s="79"/>
      <c r="U335" s="79"/>
    </row>
    <row r="336" spans="1:21">
      <c r="A336"/>
      <c r="M336">
        <f t="shared" si="76"/>
        <v>0</v>
      </c>
      <c r="N336">
        <f t="shared" si="77"/>
        <v>0</v>
      </c>
      <c r="O336">
        <f t="shared" si="78"/>
        <v>0</v>
      </c>
      <c r="P336">
        <f t="shared" si="79"/>
        <v>0</v>
      </c>
      <c r="Q336">
        <f t="shared" si="75"/>
        <v>0</v>
      </c>
      <c r="T336" s="79"/>
      <c r="U336" s="79"/>
    </row>
    <row r="337" spans="1:21">
      <c r="A337"/>
      <c r="M337">
        <f t="shared" si="76"/>
        <v>0</v>
      </c>
      <c r="N337">
        <f t="shared" si="77"/>
        <v>0</v>
      </c>
      <c r="O337">
        <f t="shared" si="78"/>
        <v>0</v>
      </c>
      <c r="P337">
        <f t="shared" si="79"/>
        <v>0</v>
      </c>
      <c r="Q337">
        <f t="shared" si="75"/>
        <v>0</v>
      </c>
      <c r="T337" s="79"/>
      <c r="U337" s="79"/>
    </row>
    <row r="338" spans="1:21">
      <c r="A338"/>
      <c r="M338">
        <f t="shared" si="76"/>
        <v>0</v>
      </c>
      <c r="N338">
        <f t="shared" si="77"/>
        <v>0</v>
      </c>
      <c r="O338">
        <f t="shared" si="78"/>
        <v>0</v>
      </c>
      <c r="P338">
        <f t="shared" si="79"/>
        <v>0</v>
      </c>
      <c r="Q338">
        <f t="shared" si="75"/>
        <v>0</v>
      </c>
      <c r="T338" s="79"/>
      <c r="U338" s="79"/>
    </row>
    <row r="339" spans="1:21">
      <c r="A339"/>
      <c r="M339">
        <f t="shared" si="76"/>
        <v>0</v>
      </c>
      <c r="N339">
        <f t="shared" si="77"/>
        <v>0</v>
      </c>
      <c r="O339">
        <f t="shared" si="78"/>
        <v>0</v>
      </c>
      <c r="P339">
        <f t="shared" si="79"/>
        <v>0</v>
      </c>
      <c r="Q339">
        <f t="shared" si="75"/>
        <v>0</v>
      </c>
      <c r="T339" s="79"/>
      <c r="U339" s="79"/>
    </row>
    <row r="340" spans="1:21">
      <c r="A340"/>
      <c r="M340">
        <f t="shared" si="76"/>
        <v>0</v>
      </c>
      <c r="N340">
        <f t="shared" si="77"/>
        <v>0</v>
      </c>
      <c r="O340">
        <f t="shared" si="78"/>
        <v>0</v>
      </c>
      <c r="P340">
        <f t="shared" si="79"/>
        <v>0</v>
      </c>
      <c r="Q340">
        <f t="shared" si="75"/>
        <v>0</v>
      </c>
      <c r="T340" s="79"/>
      <c r="U340" s="79"/>
    </row>
    <row r="341" spans="1:21">
      <c r="A341"/>
      <c r="M341">
        <f t="shared" si="76"/>
        <v>0</v>
      </c>
      <c r="N341">
        <f t="shared" si="77"/>
        <v>0</v>
      </c>
      <c r="O341">
        <f t="shared" si="78"/>
        <v>0</v>
      </c>
      <c r="P341">
        <f t="shared" si="79"/>
        <v>0</v>
      </c>
      <c r="Q341">
        <f t="shared" si="75"/>
        <v>0</v>
      </c>
      <c r="T341" s="79"/>
      <c r="U341" s="79"/>
    </row>
    <row r="342" spans="1:21">
      <c r="A342"/>
      <c r="M342">
        <f t="shared" si="76"/>
        <v>0</v>
      </c>
      <c r="N342">
        <f t="shared" si="77"/>
        <v>0</v>
      </c>
      <c r="O342">
        <f t="shared" si="78"/>
        <v>0</v>
      </c>
      <c r="P342">
        <f t="shared" si="79"/>
        <v>0</v>
      </c>
      <c r="Q342">
        <f t="shared" si="75"/>
        <v>0</v>
      </c>
      <c r="T342" s="79"/>
      <c r="U342" s="79"/>
    </row>
    <row r="343" spans="1:21">
      <c r="A343"/>
      <c r="M343">
        <f t="shared" si="76"/>
        <v>0</v>
      </c>
      <c r="N343">
        <f t="shared" si="77"/>
        <v>0</v>
      </c>
      <c r="O343">
        <f t="shared" si="78"/>
        <v>0</v>
      </c>
      <c r="P343">
        <f t="shared" si="79"/>
        <v>0</v>
      </c>
      <c r="Q343">
        <f t="shared" si="75"/>
        <v>0</v>
      </c>
      <c r="T343" s="79"/>
      <c r="U343" s="79"/>
    </row>
    <row r="344" spans="1:21">
      <c r="A344"/>
      <c r="M344">
        <f t="shared" si="76"/>
        <v>0</v>
      </c>
      <c r="N344">
        <f t="shared" si="77"/>
        <v>0</v>
      </c>
      <c r="O344">
        <f t="shared" si="78"/>
        <v>0</v>
      </c>
      <c r="P344">
        <f t="shared" si="79"/>
        <v>0</v>
      </c>
      <c r="Q344">
        <f t="shared" si="75"/>
        <v>0</v>
      </c>
      <c r="T344" s="79"/>
      <c r="U344" s="79"/>
    </row>
    <row r="345" spans="1:21">
      <c r="A345"/>
      <c r="M345">
        <f t="shared" si="76"/>
        <v>0</v>
      </c>
      <c r="N345">
        <f t="shared" si="77"/>
        <v>0</v>
      </c>
      <c r="O345">
        <f t="shared" si="78"/>
        <v>0</v>
      </c>
      <c r="P345">
        <f t="shared" si="79"/>
        <v>0</v>
      </c>
      <c r="Q345">
        <f t="shared" si="75"/>
        <v>0</v>
      </c>
      <c r="T345" s="79"/>
      <c r="U345" s="79"/>
    </row>
    <row r="346" spans="1:21">
      <c r="A346"/>
      <c r="M346">
        <f t="shared" si="76"/>
        <v>0</v>
      </c>
      <c r="N346">
        <f t="shared" si="77"/>
        <v>0</v>
      </c>
      <c r="O346">
        <f t="shared" si="78"/>
        <v>0</v>
      </c>
      <c r="P346">
        <f t="shared" si="79"/>
        <v>0</v>
      </c>
      <c r="Q346">
        <f t="shared" si="75"/>
        <v>0</v>
      </c>
      <c r="T346" s="79"/>
      <c r="U346" s="79"/>
    </row>
    <row r="347" spans="1:21">
      <c r="A347"/>
      <c r="M347">
        <f t="shared" si="76"/>
        <v>0</v>
      </c>
      <c r="N347">
        <f t="shared" si="77"/>
        <v>0</v>
      </c>
      <c r="O347">
        <f t="shared" si="78"/>
        <v>0</v>
      </c>
      <c r="P347">
        <f t="shared" si="79"/>
        <v>0</v>
      </c>
      <c r="Q347">
        <f t="shared" si="75"/>
        <v>0</v>
      </c>
      <c r="T347" s="79"/>
      <c r="U347" s="79"/>
    </row>
    <row r="348" spans="1:21">
      <c r="A348"/>
      <c r="M348">
        <f t="shared" si="76"/>
        <v>0</v>
      </c>
      <c r="N348">
        <f t="shared" si="77"/>
        <v>0</v>
      </c>
      <c r="O348">
        <f t="shared" si="78"/>
        <v>0</v>
      </c>
      <c r="P348">
        <f t="shared" si="79"/>
        <v>0</v>
      </c>
      <c r="Q348">
        <f t="shared" si="75"/>
        <v>0</v>
      </c>
      <c r="T348" s="79"/>
      <c r="U348" s="79"/>
    </row>
    <row r="349" spans="1:21">
      <c r="A349"/>
      <c r="M349">
        <f t="shared" si="76"/>
        <v>0</v>
      </c>
      <c r="N349">
        <f t="shared" si="77"/>
        <v>0</v>
      </c>
      <c r="O349">
        <f t="shared" si="78"/>
        <v>0</v>
      </c>
      <c r="P349">
        <f t="shared" si="79"/>
        <v>0</v>
      </c>
      <c r="Q349">
        <f t="shared" si="75"/>
        <v>0</v>
      </c>
      <c r="T349" s="79"/>
      <c r="U349" s="79"/>
    </row>
    <row r="350" spans="1:21">
      <c r="A350"/>
      <c r="M350">
        <f t="shared" si="76"/>
        <v>0</v>
      </c>
      <c r="N350">
        <f t="shared" si="77"/>
        <v>0</v>
      </c>
      <c r="O350">
        <f t="shared" si="78"/>
        <v>0</v>
      </c>
      <c r="P350">
        <f t="shared" si="79"/>
        <v>0</v>
      </c>
      <c r="Q350">
        <f t="shared" si="75"/>
        <v>0</v>
      </c>
      <c r="T350" s="79"/>
      <c r="U350" s="79"/>
    </row>
    <row r="351" spans="1:21">
      <c r="A351"/>
      <c r="M351">
        <f t="shared" si="76"/>
        <v>0</v>
      </c>
      <c r="N351">
        <f t="shared" si="77"/>
        <v>0</v>
      </c>
      <c r="O351">
        <f t="shared" si="78"/>
        <v>0</v>
      </c>
      <c r="P351">
        <f t="shared" si="79"/>
        <v>0</v>
      </c>
      <c r="Q351">
        <f t="shared" si="75"/>
        <v>0</v>
      </c>
      <c r="T351" s="79"/>
      <c r="U351" s="79"/>
    </row>
    <row r="352" spans="1:21">
      <c r="A352"/>
      <c r="M352">
        <f t="shared" si="76"/>
        <v>0</v>
      </c>
      <c r="N352">
        <f t="shared" si="77"/>
        <v>0</v>
      </c>
      <c r="O352">
        <f t="shared" si="78"/>
        <v>0</v>
      </c>
      <c r="P352">
        <f t="shared" si="79"/>
        <v>0</v>
      </c>
      <c r="Q352">
        <f t="shared" si="75"/>
        <v>0</v>
      </c>
      <c r="T352" s="79"/>
      <c r="U352" s="79"/>
    </row>
    <row r="353" spans="1:21">
      <c r="A353"/>
      <c r="M353">
        <f t="shared" si="76"/>
        <v>0</v>
      </c>
      <c r="N353">
        <f t="shared" si="77"/>
        <v>0</v>
      </c>
      <c r="O353">
        <f t="shared" si="78"/>
        <v>0</v>
      </c>
      <c r="P353">
        <f t="shared" si="79"/>
        <v>0</v>
      </c>
      <c r="Q353">
        <f t="shared" si="75"/>
        <v>0</v>
      </c>
      <c r="T353" s="79"/>
      <c r="U353" s="79"/>
    </row>
    <row r="354" spans="1:21">
      <c r="A354"/>
      <c r="M354">
        <f t="shared" si="76"/>
        <v>0</v>
      </c>
      <c r="N354">
        <f t="shared" si="77"/>
        <v>0</v>
      </c>
      <c r="O354">
        <f t="shared" si="78"/>
        <v>0</v>
      </c>
      <c r="P354">
        <f t="shared" si="79"/>
        <v>0</v>
      </c>
      <c r="Q354">
        <f t="shared" si="75"/>
        <v>0</v>
      </c>
      <c r="T354" s="79"/>
      <c r="U354" s="79"/>
    </row>
    <row r="355" spans="1:21">
      <c r="A355"/>
      <c r="M355">
        <f t="shared" si="76"/>
        <v>0</v>
      </c>
      <c r="N355">
        <f t="shared" si="77"/>
        <v>0</v>
      </c>
      <c r="O355">
        <f t="shared" si="78"/>
        <v>0</v>
      </c>
      <c r="P355">
        <f t="shared" si="79"/>
        <v>0</v>
      </c>
      <c r="Q355">
        <f t="shared" si="75"/>
        <v>0</v>
      </c>
      <c r="T355" s="79"/>
      <c r="U355" s="79"/>
    </row>
    <row r="356" spans="1:21">
      <c r="A356"/>
      <c r="M356">
        <f t="shared" si="76"/>
        <v>0</v>
      </c>
      <c r="N356">
        <f t="shared" si="77"/>
        <v>0</v>
      </c>
      <c r="O356">
        <f t="shared" si="78"/>
        <v>0</v>
      </c>
      <c r="P356">
        <f t="shared" si="79"/>
        <v>0</v>
      </c>
      <c r="Q356">
        <f t="shared" si="75"/>
        <v>0</v>
      </c>
      <c r="T356" s="79"/>
      <c r="U356" s="79"/>
    </row>
    <row r="357" spans="1:21">
      <c r="A357"/>
      <c r="M357">
        <f t="shared" si="76"/>
        <v>0</v>
      </c>
      <c r="N357">
        <f t="shared" si="77"/>
        <v>0</v>
      </c>
      <c r="O357">
        <f t="shared" si="78"/>
        <v>0</v>
      </c>
      <c r="P357">
        <f t="shared" si="79"/>
        <v>0</v>
      </c>
      <c r="Q357">
        <f t="shared" si="75"/>
        <v>0</v>
      </c>
      <c r="T357" s="79"/>
      <c r="U357" s="79"/>
    </row>
    <row r="358" spans="1:21">
      <c r="A358"/>
      <c r="M358">
        <f t="shared" si="76"/>
        <v>0</v>
      </c>
      <c r="N358">
        <f t="shared" si="77"/>
        <v>0</v>
      </c>
      <c r="O358">
        <f t="shared" si="78"/>
        <v>0</v>
      </c>
      <c r="P358">
        <f t="shared" si="79"/>
        <v>0</v>
      </c>
      <c r="Q358">
        <f t="shared" si="75"/>
        <v>0</v>
      </c>
      <c r="T358" s="79"/>
      <c r="U358" s="79"/>
    </row>
    <row r="359" spans="1:21">
      <c r="A359"/>
      <c r="M359">
        <f t="shared" si="76"/>
        <v>0</v>
      </c>
      <c r="N359">
        <f t="shared" si="77"/>
        <v>0</v>
      </c>
      <c r="O359">
        <f t="shared" si="78"/>
        <v>0</v>
      </c>
      <c r="P359">
        <f t="shared" si="79"/>
        <v>0</v>
      </c>
      <c r="Q359">
        <f t="shared" si="75"/>
        <v>0</v>
      </c>
      <c r="T359" s="79"/>
      <c r="U359" s="79"/>
    </row>
    <row r="360" spans="1:21">
      <c r="A360"/>
      <c r="M360">
        <f t="shared" si="76"/>
        <v>0</v>
      </c>
      <c r="N360">
        <f t="shared" si="77"/>
        <v>0</v>
      </c>
      <c r="O360">
        <f t="shared" si="78"/>
        <v>0</v>
      </c>
      <c r="P360">
        <f t="shared" si="79"/>
        <v>0</v>
      </c>
      <c r="Q360">
        <f t="shared" si="75"/>
        <v>0</v>
      </c>
      <c r="T360" s="79"/>
      <c r="U360" s="79"/>
    </row>
    <row r="361" spans="1:21">
      <c r="A361"/>
      <c r="M361">
        <f t="shared" si="76"/>
        <v>0</v>
      </c>
      <c r="N361">
        <f t="shared" si="77"/>
        <v>0</v>
      </c>
      <c r="O361">
        <f t="shared" si="78"/>
        <v>0</v>
      </c>
      <c r="P361">
        <f t="shared" si="79"/>
        <v>0</v>
      </c>
      <c r="Q361">
        <f t="shared" si="75"/>
        <v>0</v>
      </c>
      <c r="T361" s="79"/>
      <c r="U361" s="79"/>
    </row>
    <row r="362" spans="1:21">
      <c r="A362"/>
      <c r="M362">
        <f t="shared" si="76"/>
        <v>0</v>
      </c>
      <c r="N362">
        <f t="shared" si="77"/>
        <v>0</v>
      </c>
      <c r="O362">
        <f t="shared" si="78"/>
        <v>0</v>
      </c>
      <c r="P362">
        <f t="shared" si="79"/>
        <v>0</v>
      </c>
      <c r="Q362">
        <f t="shared" si="75"/>
        <v>0</v>
      </c>
      <c r="T362" s="79"/>
      <c r="U362" s="79"/>
    </row>
    <row r="363" spans="1:21">
      <c r="A363"/>
      <c r="M363">
        <f t="shared" si="76"/>
        <v>0</v>
      </c>
      <c r="N363">
        <f t="shared" si="77"/>
        <v>0</v>
      </c>
      <c r="O363">
        <f t="shared" si="78"/>
        <v>0</v>
      </c>
      <c r="P363">
        <f t="shared" si="79"/>
        <v>0</v>
      </c>
      <c r="Q363">
        <f t="shared" si="75"/>
        <v>0</v>
      </c>
      <c r="T363" s="79"/>
      <c r="U363" s="79"/>
    </row>
    <row r="364" spans="1:21">
      <c r="A364"/>
      <c r="M364">
        <f t="shared" si="76"/>
        <v>0</v>
      </c>
      <c r="N364">
        <f t="shared" si="77"/>
        <v>0</v>
      </c>
      <c r="O364">
        <f t="shared" si="78"/>
        <v>0</v>
      </c>
      <c r="P364">
        <f t="shared" si="79"/>
        <v>0</v>
      </c>
      <c r="Q364">
        <f t="shared" si="75"/>
        <v>0</v>
      </c>
      <c r="T364" s="79"/>
      <c r="U364" s="79"/>
    </row>
    <row r="365" spans="1:21">
      <c r="A365"/>
      <c r="T365" s="79"/>
      <c r="U365" s="79"/>
    </row>
    <row r="366" spans="1:21">
      <c r="A366"/>
      <c r="T366" s="79"/>
      <c r="U366" s="79"/>
    </row>
    <row r="367" spans="1:21">
      <c r="A367"/>
      <c r="T367" s="79"/>
      <c r="U367" s="79"/>
    </row>
    <row r="368" spans="1:21">
      <c r="A368"/>
      <c r="T368" s="79"/>
      <c r="U368" s="79"/>
    </row>
    <row r="369" spans="1:21">
      <c r="A369"/>
      <c r="T369" s="79"/>
      <c r="U369" s="79"/>
    </row>
    <row r="370" spans="1:21">
      <c r="A370"/>
      <c r="T370" s="79"/>
      <c r="U370" s="79"/>
    </row>
    <row r="371" spans="1:21">
      <c r="A371"/>
      <c r="T371" s="79"/>
      <c r="U371" s="79"/>
    </row>
    <row r="372" spans="1:21">
      <c r="A372"/>
      <c r="T372" s="79"/>
      <c r="U372" s="79"/>
    </row>
    <row r="373" spans="1:21">
      <c r="A373"/>
      <c r="T373" s="79"/>
      <c r="U373" s="79"/>
    </row>
    <row r="374" spans="1:21">
      <c r="A374"/>
      <c r="T374" s="79"/>
      <c r="U374" s="79"/>
    </row>
    <row r="375" spans="1:21">
      <c r="A375"/>
      <c r="T375" s="79"/>
      <c r="U375" s="79"/>
    </row>
    <row r="376" spans="1:21">
      <c r="A376"/>
      <c r="T376" s="79"/>
      <c r="U376" s="79"/>
    </row>
    <row r="377" spans="1:21">
      <c r="A377"/>
      <c r="T377" s="79"/>
      <c r="U377" s="79"/>
    </row>
    <row r="378" spans="1:21">
      <c r="A378"/>
      <c r="T378" s="79"/>
      <c r="U378" s="79"/>
    </row>
    <row r="379" spans="1:21">
      <c r="A379"/>
      <c r="T379" s="79"/>
      <c r="U379" s="79"/>
    </row>
    <row r="380" spans="1:21">
      <c r="A380"/>
      <c r="T380" s="79"/>
      <c r="U380" s="79"/>
    </row>
    <row r="381" spans="1:21">
      <c r="A381"/>
      <c r="T381" s="79"/>
      <c r="U381" s="79"/>
    </row>
    <row r="382" spans="1:21">
      <c r="A382"/>
      <c r="T382" s="79"/>
      <c r="U382" s="79"/>
    </row>
    <row r="383" spans="1:21">
      <c r="A383"/>
      <c r="T383" s="79"/>
      <c r="U383" s="79"/>
    </row>
    <row r="384" spans="1:21">
      <c r="A384"/>
      <c r="T384" s="79"/>
      <c r="U384" s="79"/>
    </row>
    <row r="385" spans="1:21">
      <c r="A385"/>
      <c r="T385" s="79"/>
      <c r="U385" s="79"/>
    </row>
    <row r="386" spans="1:21">
      <c r="A386"/>
      <c r="T386" s="79"/>
      <c r="U386" s="79"/>
    </row>
    <row r="387" spans="1:21">
      <c r="A387"/>
      <c r="T387" s="79"/>
      <c r="U387" s="79"/>
    </row>
    <row r="388" spans="1:21">
      <c r="A388"/>
      <c r="T388" s="79"/>
      <c r="U388" s="79"/>
    </row>
    <row r="389" spans="1:21">
      <c r="A389"/>
      <c r="T389" s="79"/>
      <c r="U389" s="79"/>
    </row>
    <row r="390" spans="1:21">
      <c r="A390"/>
      <c r="T390" s="79"/>
      <c r="U390" s="79"/>
    </row>
    <row r="391" spans="1:21">
      <c r="A391"/>
      <c r="T391" s="79"/>
      <c r="U391" s="79"/>
    </row>
    <row r="392" spans="1:21">
      <c r="A392"/>
      <c r="T392" s="79"/>
      <c r="U392" s="79"/>
    </row>
    <row r="393" spans="1:21">
      <c r="A393"/>
      <c r="T393" s="79"/>
      <c r="U393" s="79"/>
    </row>
    <row r="394" spans="1:21">
      <c r="A394"/>
      <c r="T394" s="79"/>
      <c r="U394" s="79"/>
    </row>
    <row r="395" spans="1:21">
      <c r="A395"/>
      <c r="T395" s="79"/>
      <c r="U395" s="79"/>
    </row>
    <row r="396" spans="1:21">
      <c r="A396"/>
      <c r="T396" s="79"/>
      <c r="U396" s="79"/>
    </row>
    <row r="397" spans="1:21">
      <c r="A397"/>
      <c r="T397" s="79"/>
      <c r="U397" s="79"/>
    </row>
    <row r="398" spans="1:21">
      <c r="A398"/>
      <c r="T398" s="79"/>
      <c r="U398" s="79"/>
    </row>
    <row r="399" spans="1:21">
      <c r="A399"/>
      <c r="T399" s="79"/>
      <c r="U399" s="79"/>
    </row>
    <row r="400" spans="1:21">
      <c r="A400"/>
      <c r="T400" s="79"/>
      <c r="U400" s="79"/>
    </row>
    <row r="401" spans="1:21">
      <c r="A401"/>
      <c r="T401" s="79"/>
      <c r="U401" s="79"/>
    </row>
    <row r="402" spans="1:21">
      <c r="A402"/>
      <c r="T402" s="79"/>
      <c r="U402" s="79"/>
    </row>
    <row r="403" spans="1:21">
      <c r="A403"/>
      <c r="T403" s="79"/>
      <c r="U403" s="79"/>
    </row>
    <row r="404" spans="1:21">
      <c r="A404"/>
      <c r="T404" s="79"/>
      <c r="U404" s="79"/>
    </row>
    <row r="405" spans="1:21">
      <c r="A405"/>
      <c r="T405" s="79"/>
      <c r="U405" s="79"/>
    </row>
    <row r="406" spans="1:21">
      <c r="A406"/>
      <c r="T406" s="79"/>
      <c r="U406" s="79"/>
    </row>
    <row r="407" spans="1:21">
      <c r="A407"/>
      <c r="T407" s="79"/>
      <c r="U407" s="79"/>
    </row>
    <row r="408" spans="1:21">
      <c r="A408"/>
      <c r="T408" s="79"/>
      <c r="U408" s="79"/>
    </row>
    <row r="409" spans="1:21">
      <c r="A409"/>
      <c r="T409" s="79"/>
      <c r="U409" s="79"/>
    </row>
    <row r="410" spans="1:21">
      <c r="A410"/>
      <c r="T410" s="79"/>
      <c r="U410" s="79"/>
    </row>
    <row r="411" spans="1:21">
      <c r="A411"/>
      <c r="T411" s="79"/>
      <c r="U411" s="79"/>
    </row>
    <row r="412" spans="1:21">
      <c r="A412"/>
      <c r="T412" s="79"/>
      <c r="U412" s="79"/>
    </row>
    <row r="413" spans="1:21">
      <c r="A413"/>
      <c r="T413" s="79"/>
      <c r="U413" s="79"/>
    </row>
    <row r="414" spans="1:21">
      <c r="A414"/>
      <c r="T414" s="79"/>
      <c r="U414" s="79"/>
    </row>
    <row r="415" spans="1:21">
      <c r="A415"/>
      <c r="T415" s="79"/>
      <c r="U415" s="79"/>
    </row>
    <row r="416" spans="1:21">
      <c r="A416"/>
      <c r="T416" s="79"/>
      <c r="U416" s="79"/>
    </row>
    <row r="417" spans="1:21">
      <c r="A417"/>
      <c r="T417" s="79"/>
      <c r="U417" s="79"/>
    </row>
    <row r="418" spans="1:21">
      <c r="A418"/>
      <c r="T418" s="79"/>
      <c r="U418" s="79"/>
    </row>
    <row r="419" spans="1:21">
      <c r="A419"/>
      <c r="T419" s="79"/>
      <c r="U419" s="79"/>
    </row>
    <row r="420" spans="1:21">
      <c r="A420"/>
      <c r="T420" s="79"/>
      <c r="U420" s="79"/>
    </row>
    <row r="421" spans="1:21">
      <c r="A421"/>
      <c r="T421" s="79"/>
      <c r="U421" s="79"/>
    </row>
    <row r="422" spans="1:21">
      <c r="A422"/>
      <c r="T422" s="79"/>
      <c r="U422" s="79"/>
    </row>
    <row r="423" spans="1:21">
      <c r="A423"/>
      <c r="T423" s="79"/>
      <c r="U423" s="79"/>
    </row>
    <row r="424" spans="1:21">
      <c r="A424"/>
      <c r="T424" s="79"/>
      <c r="U424" s="79"/>
    </row>
    <row r="425" spans="1:21">
      <c r="A425"/>
      <c r="T425" s="79"/>
      <c r="U425" s="79"/>
    </row>
    <row r="426" spans="1:21">
      <c r="A426"/>
      <c r="T426" s="79"/>
      <c r="U426" s="79"/>
    </row>
    <row r="427" spans="1:21">
      <c r="A427"/>
      <c r="T427" s="79"/>
      <c r="U427" s="79"/>
    </row>
    <row r="428" spans="1:21">
      <c r="A428"/>
      <c r="T428" s="79"/>
      <c r="U428" s="79"/>
    </row>
    <row r="429" spans="1:21">
      <c r="A429"/>
      <c r="T429" s="79"/>
      <c r="U429" s="79"/>
    </row>
    <row r="430" spans="1:21">
      <c r="A430"/>
      <c r="T430" s="79"/>
      <c r="U430" s="79"/>
    </row>
    <row r="431" spans="1:21">
      <c r="A431"/>
      <c r="T431" s="79"/>
      <c r="U431" s="79"/>
    </row>
    <row r="432" spans="1:21">
      <c r="A432"/>
      <c r="T432" s="79"/>
      <c r="U432" s="79"/>
    </row>
    <row r="433" spans="1:21">
      <c r="A433"/>
      <c r="T433" s="79"/>
      <c r="U433" s="79"/>
    </row>
    <row r="434" spans="1:21">
      <c r="A434"/>
      <c r="T434" s="79"/>
      <c r="U434" s="79"/>
    </row>
    <row r="435" spans="1:21">
      <c r="A435"/>
      <c r="T435" s="79"/>
      <c r="U435" s="79"/>
    </row>
    <row r="436" spans="1:21">
      <c r="A436"/>
      <c r="T436" s="79"/>
      <c r="U436" s="79"/>
    </row>
    <row r="437" spans="1:21">
      <c r="A437"/>
      <c r="T437" s="79"/>
      <c r="U437" s="79"/>
    </row>
    <row r="438" spans="1:21">
      <c r="A438"/>
      <c r="T438" s="79"/>
      <c r="U438" s="79"/>
    </row>
    <row r="439" spans="1:21">
      <c r="A439"/>
      <c r="T439" s="79"/>
      <c r="U439" s="79"/>
    </row>
    <row r="440" spans="1:21">
      <c r="A440"/>
      <c r="T440" s="79"/>
      <c r="U440" s="79"/>
    </row>
    <row r="441" spans="1:21">
      <c r="A441"/>
      <c r="T441" s="79"/>
      <c r="U441" s="79"/>
    </row>
    <row r="442" spans="1:21">
      <c r="A442"/>
      <c r="T442" s="79"/>
      <c r="U442" s="79"/>
    </row>
    <row r="443" spans="1:21">
      <c r="A443"/>
      <c r="T443" s="79"/>
      <c r="U443" s="79"/>
    </row>
    <row r="444" spans="1:21">
      <c r="A444"/>
      <c r="T444" s="79"/>
      <c r="U444" s="79"/>
    </row>
    <row r="445" spans="1:21">
      <c r="A445"/>
      <c r="T445" s="79"/>
      <c r="U445" s="79"/>
    </row>
    <row r="446" spans="1:21">
      <c r="A446"/>
      <c r="T446" s="79"/>
      <c r="U446" s="79"/>
    </row>
    <row r="447" spans="1:21">
      <c r="A447"/>
      <c r="T447" s="79"/>
      <c r="U447" s="79"/>
    </row>
    <row r="448" spans="1:21">
      <c r="A448"/>
      <c r="T448" s="79"/>
      <c r="U448" s="79"/>
    </row>
    <row r="449" spans="1:21">
      <c r="A449"/>
      <c r="T449" s="79"/>
      <c r="U449" s="79"/>
    </row>
    <row r="450" spans="1:21">
      <c r="A450"/>
      <c r="T450" s="79"/>
      <c r="U450" s="79"/>
    </row>
    <row r="451" spans="1:21">
      <c r="A451"/>
      <c r="T451" s="79"/>
      <c r="U451" s="79"/>
    </row>
    <row r="452" spans="1:21">
      <c r="A452"/>
      <c r="T452" s="79"/>
      <c r="U452" s="79"/>
    </row>
    <row r="453" spans="1:21">
      <c r="A453"/>
      <c r="T453" s="79"/>
      <c r="U453" s="79"/>
    </row>
    <row r="454" spans="1:21">
      <c r="A454"/>
      <c r="T454" s="79"/>
      <c r="U454" s="79"/>
    </row>
    <row r="455" spans="1:21">
      <c r="A455"/>
      <c r="T455" s="79"/>
      <c r="U455" s="79"/>
    </row>
    <row r="456" spans="1:21">
      <c r="A456"/>
      <c r="T456" s="79"/>
      <c r="U456" s="79"/>
    </row>
    <row r="457" spans="1:21">
      <c r="A457"/>
      <c r="T457" s="79"/>
      <c r="U457" s="79"/>
    </row>
    <row r="458" spans="1:21">
      <c r="A458"/>
      <c r="T458" s="79"/>
      <c r="U458" s="79"/>
    </row>
    <row r="459" spans="1:21">
      <c r="A459"/>
      <c r="T459" s="79"/>
      <c r="U459" s="79"/>
    </row>
    <row r="460" spans="1:21">
      <c r="A460"/>
      <c r="T460" s="79"/>
      <c r="U460" s="79"/>
    </row>
    <row r="461" spans="1:21">
      <c r="A461"/>
      <c r="T461" s="79"/>
      <c r="U461" s="79"/>
    </row>
    <row r="462" spans="1:21">
      <c r="A462"/>
      <c r="T462" s="79"/>
      <c r="U462" s="79"/>
    </row>
    <row r="463" spans="1:21">
      <c r="A463"/>
      <c r="T463" s="79"/>
      <c r="U463" s="79"/>
    </row>
    <row r="464" spans="1:21">
      <c r="A464"/>
      <c r="T464" s="79"/>
      <c r="U464" s="79"/>
    </row>
    <row r="465" spans="1:21">
      <c r="A465"/>
      <c r="T465" s="79"/>
      <c r="U465" s="79"/>
    </row>
    <row r="466" spans="1:21">
      <c r="A466"/>
      <c r="T466" s="79"/>
      <c r="U466" s="79"/>
    </row>
    <row r="467" spans="1:21">
      <c r="A467"/>
      <c r="T467" s="79"/>
      <c r="U467" s="79"/>
    </row>
    <row r="468" spans="1:21">
      <c r="A468"/>
      <c r="T468" s="79"/>
      <c r="U468" s="79"/>
    </row>
    <row r="469" spans="1:21">
      <c r="A469"/>
      <c r="T469" s="79"/>
      <c r="U469" s="79"/>
    </row>
    <row r="470" spans="1:21">
      <c r="A470"/>
      <c r="T470" s="79"/>
      <c r="U470" s="79"/>
    </row>
    <row r="471" spans="1:21">
      <c r="A471"/>
      <c r="T471" s="79"/>
      <c r="U471" s="79"/>
    </row>
    <row r="472" spans="1:21">
      <c r="A472"/>
      <c r="T472" s="79"/>
      <c r="U472" s="79"/>
    </row>
    <row r="473" spans="1:21">
      <c r="A473"/>
      <c r="T473" s="79"/>
      <c r="U473" s="79"/>
    </row>
    <row r="474" spans="1:21">
      <c r="A474"/>
      <c r="T474" s="79"/>
      <c r="U474" s="79"/>
    </row>
    <row r="475" spans="1:21">
      <c r="A475"/>
      <c r="T475" s="79"/>
      <c r="U475" s="79"/>
    </row>
    <row r="476" spans="1:21">
      <c r="A476"/>
      <c r="T476" s="79"/>
      <c r="U476" s="79"/>
    </row>
    <row r="477" spans="1:21">
      <c r="A477"/>
      <c r="T477" s="79"/>
      <c r="U477" s="79"/>
    </row>
    <row r="478" spans="1:21">
      <c r="A478"/>
      <c r="T478" s="79"/>
      <c r="U478" s="79"/>
    </row>
    <row r="479" spans="1:21">
      <c r="A479"/>
      <c r="T479" s="79"/>
      <c r="U479" s="79"/>
    </row>
    <row r="480" spans="1:21">
      <c r="A480"/>
      <c r="T480" s="79"/>
      <c r="U480" s="79"/>
    </row>
    <row r="481" spans="1:21">
      <c r="A481"/>
      <c r="T481" s="79"/>
      <c r="U481" s="79"/>
    </row>
    <row r="482" spans="1:21">
      <c r="A482"/>
      <c r="T482" s="79"/>
      <c r="U482" s="79"/>
    </row>
    <row r="483" spans="1:21">
      <c r="A483"/>
      <c r="T483" s="79"/>
      <c r="U483" s="79"/>
    </row>
    <row r="484" spans="1:21">
      <c r="A484"/>
      <c r="T484" s="79"/>
      <c r="U484" s="79"/>
    </row>
    <row r="485" spans="1:21">
      <c r="A485"/>
      <c r="T485" s="79"/>
      <c r="U485" s="79"/>
    </row>
    <row r="486" spans="1:21">
      <c r="A486"/>
      <c r="T486" s="79"/>
      <c r="U486" s="79"/>
    </row>
    <row r="487" spans="1:21">
      <c r="A487"/>
      <c r="T487" s="79"/>
      <c r="U487" s="79"/>
    </row>
    <row r="488" spans="1:21">
      <c r="A488"/>
      <c r="T488" s="79"/>
      <c r="U488" s="79"/>
    </row>
    <row r="489" spans="1:21">
      <c r="A489"/>
      <c r="T489" s="79"/>
      <c r="U489" s="79"/>
    </row>
    <row r="490" spans="1:21">
      <c r="A490"/>
      <c r="T490" s="79"/>
      <c r="U490" s="79"/>
    </row>
    <row r="491" spans="1:21">
      <c r="A491"/>
      <c r="T491" s="79"/>
      <c r="U491" s="79"/>
    </row>
    <row r="492" spans="1:21">
      <c r="A492"/>
      <c r="T492" s="79"/>
      <c r="U492" s="79"/>
    </row>
    <row r="493" spans="1:21">
      <c r="A493"/>
      <c r="T493" s="79"/>
      <c r="U493" s="79"/>
    </row>
    <row r="494" spans="1:21">
      <c r="A494"/>
      <c r="T494" s="79"/>
      <c r="U494" s="79"/>
    </row>
    <row r="495" spans="1:21">
      <c r="A495"/>
      <c r="T495" s="79"/>
      <c r="U495" s="79"/>
    </row>
    <row r="496" spans="1:21">
      <c r="A496"/>
      <c r="T496" s="79"/>
      <c r="U496" s="79"/>
    </row>
    <row r="497" spans="1:21">
      <c r="A497"/>
      <c r="T497" s="79"/>
      <c r="U497" s="79"/>
    </row>
    <row r="498" spans="1:21">
      <c r="A498"/>
      <c r="T498" s="79"/>
      <c r="U498" s="79"/>
    </row>
    <row r="499" spans="1:21">
      <c r="A499"/>
      <c r="T499" s="79"/>
      <c r="U499" s="79"/>
    </row>
    <row r="500" spans="1:21">
      <c r="A500"/>
      <c r="T500" s="79"/>
      <c r="U500" s="79"/>
    </row>
    <row r="501" spans="1:21">
      <c r="A501"/>
      <c r="T501" s="79"/>
      <c r="U501" s="79"/>
    </row>
    <row r="502" spans="1:21">
      <c r="A502"/>
      <c r="T502" s="79"/>
      <c r="U502" s="79"/>
    </row>
    <row r="503" spans="1:21">
      <c r="A503"/>
      <c r="T503" s="79"/>
      <c r="U503" s="79"/>
    </row>
    <row r="504" spans="1:21">
      <c r="A504"/>
      <c r="T504" s="79"/>
      <c r="U504" s="79"/>
    </row>
    <row r="505" spans="1:21">
      <c r="A505"/>
      <c r="T505" s="79"/>
      <c r="U505" s="79"/>
    </row>
    <row r="506" spans="1:21">
      <c r="A506"/>
      <c r="T506" s="79"/>
      <c r="U506" s="79"/>
    </row>
    <row r="507" spans="1:21">
      <c r="A507"/>
      <c r="T507" s="79"/>
      <c r="U507" s="79"/>
    </row>
    <row r="508" spans="1:21">
      <c r="A508"/>
      <c r="T508" s="79"/>
      <c r="U508" s="79"/>
    </row>
    <row r="509" spans="1:21">
      <c r="A509"/>
      <c r="T509" s="79"/>
      <c r="U509" s="79"/>
    </row>
    <row r="510" spans="1:21">
      <c r="A510"/>
      <c r="T510" s="79"/>
      <c r="U510" s="79"/>
    </row>
    <row r="511" spans="1:21">
      <c r="A511"/>
      <c r="T511" s="79"/>
      <c r="U511" s="79"/>
    </row>
    <row r="512" spans="1:21">
      <c r="A512"/>
      <c r="T512" s="79"/>
      <c r="U512" s="79"/>
    </row>
    <row r="513" spans="1:21">
      <c r="A513"/>
      <c r="T513" s="79"/>
      <c r="U513" s="79"/>
    </row>
    <row r="514" spans="1:21">
      <c r="A514"/>
      <c r="T514" s="79"/>
      <c r="U514" s="79"/>
    </row>
    <row r="515" spans="1:21">
      <c r="A515"/>
      <c r="T515" s="79"/>
      <c r="U515" s="79"/>
    </row>
    <row r="516" spans="1:21">
      <c r="A516"/>
      <c r="T516" s="79"/>
      <c r="U516" s="79"/>
    </row>
    <row r="517" spans="1:21">
      <c r="A517"/>
      <c r="T517" s="79"/>
      <c r="U517" s="79"/>
    </row>
    <row r="518" spans="1:21">
      <c r="A518"/>
      <c r="T518" s="79"/>
      <c r="U518" s="79"/>
    </row>
    <row r="519" spans="1:21">
      <c r="A519"/>
      <c r="T519" s="79"/>
      <c r="U519" s="79"/>
    </row>
    <row r="520" spans="1:21">
      <c r="A520"/>
      <c r="T520" s="79"/>
      <c r="U520" s="79"/>
    </row>
    <row r="521" spans="1:21">
      <c r="A521"/>
      <c r="T521" s="79"/>
      <c r="U521" s="79"/>
    </row>
    <row r="522" spans="1:21">
      <c r="A522"/>
      <c r="T522" s="79"/>
      <c r="U522" s="79"/>
    </row>
    <row r="523" spans="1:21">
      <c r="A523"/>
      <c r="T523" s="79"/>
      <c r="U523" s="79"/>
    </row>
    <row r="524" spans="1:21">
      <c r="A524"/>
      <c r="T524" s="79"/>
      <c r="U524" s="79"/>
    </row>
    <row r="525" spans="1:21">
      <c r="A525"/>
      <c r="T525" s="79"/>
      <c r="U525" s="79"/>
    </row>
    <row r="526" spans="1:21">
      <c r="A526"/>
      <c r="T526" s="79"/>
      <c r="U526" s="79"/>
    </row>
    <row r="527" spans="1:21">
      <c r="A527"/>
      <c r="T527" s="79"/>
      <c r="U527" s="79"/>
    </row>
    <row r="528" spans="1:21">
      <c r="A528"/>
      <c r="T528" s="79"/>
      <c r="U528" s="79"/>
    </row>
    <row r="529" spans="1:21">
      <c r="A529"/>
      <c r="T529" s="79"/>
      <c r="U529" s="79"/>
    </row>
    <row r="530" spans="1:21">
      <c r="A530"/>
      <c r="T530" s="79"/>
      <c r="U530" s="79"/>
    </row>
    <row r="531" spans="1:21">
      <c r="A531"/>
      <c r="T531" s="79"/>
      <c r="U531" s="79"/>
    </row>
    <row r="532" spans="1:21">
      <c r="A532"/>
      <c r="T532" s="79"/>
      <c r="U532" s="79"/>
    </row>
    <row r="533" spans="1:21">
      <c r="A533"/>
      <c r="T533" s="79"/>
      <c r="U533" s="79"/>
    </row>
    <row r="534" spans="1:21">
      <c r="A534"/>
      <c r="T534" s="79"/>
      <c r="U534" s="79"/>
    </row>
    <row r="535" spans="1:21">
      <c r="A535"/>
      <c r="T535" s="79"/>
      <c r="U535" s="79"/>
    </row>
    <row r="536" spans="1:21">
      <c r="A536"/>
      <c r="T536" s="79"/>
      <c r="U536" s="79"/>
    </row>
    <row r="537" spans="1:21">
      <c r="A537"/>
      <c r="T537" s="79"/>
      <c r="U537" s="79"/>
    </row>
    <row r="538" spans="1:21">
      <c r="A538"/>
      <c r="T538" s="79"/>
      <c r="U538" s="79"/>
    </row>
    <row r="539" spans="1:21">
      <c r="A539"/>
      <c r="T539" s="79"/>
      <c r="U539" s="79"/>
    </row>
    <row r="540" spans="1:21">
      <c r="A540"/>
      <c r="T540" s="79"/>
      <c r="U540" s="79"/>
    </row>
    <row r="541" spans="1:21">
      <c r="A541"/>
      <c r="T541" s="79"/>
      <c r="U541" s="79"/>
    </row>
    <row r="542" spans="1:21">
      <c r="A542"/>
      <c r="T542" s="79"/>
      <c r="U542" s="79"/>
    </row>
    <row r="543" spans="1:21">
      <c r="A543"/>
      <c r="T543" s="79"/>
      <c r="U543" s="79"/>
    </row>
    <row r="544" spans="1:21">
      <c r="A544"/>
      <c r="T544" s="79"/>
      <c r="U544" s="79"/>
    </row>
    <row r="545" spans="1:21">
      <c r="A545"/>
      <c r="T545" s="79"/>
      <c r="U545" s="79"/>
    </row>
    <row r="546" spans="1:21">
      <c r="A546"/>
      <c r="T546" s="79"/>
      <c r="U546" s="79"/>
    </row>
    <row r="547" spans="1:21">
      <c r="A547"/>
      <c r="T547" s="79"/>
      <c r="U547" s="79"/>
    </row>
    <row r="548" spans="1:21">
      <c r="A548"/>
      <c r="T548" s="79"/>
      <c r="U548" s="79"/>
    </row>
    <row r="549" spans="1:21">
      <c r="A549"/>
      <c r="T549" s="79"/>
      <c r="U549" s="79"/>
    </row>
    <row r="550" spans="1:21">
      <c r="A550"/>
      <c r="T550" s="79"/>
      <c r="U550" s="79"/>
    </row>
    <row r="551" spans="1:21">
      <c r="A551"/>
      <c r="T551" s="79"/>
      <c r="U551" s="79"/>
    </row>
    <row r="552" spans="1:21">
      <c r="A552"/>
      <c r="T552" s="79"/>
      <c r="U552" s="79"/>
    </row>
    <row r="553" spans="1:21">
      <c r="A553"/>
      <c r="T553" s="79"/>
      <c r="U553" s="79"/>
    </row>
    <row r="554" spans="1:21">
      <c r="A554"/>
      <c r="T554" s="79"/>
      <c r="U554" s="79"/>
    </row>
    <row r="555" spans="1:21">
      <c r="A555"/>
      <c r="T555" s="79"/>
      <c r="U555" s="79"/>
    </row>
    <row r="556" spans="1:21">
      <c r="A556"/>
      <c r="T556" s="79"/>
      <c r="U556" s="79"/>
    </row>
    <row r="557" spans="1:21">
      <c r="A557"/>
      <c r="T557" s="79"/>
      <c r="U557" s="79"/>
    </row>
    <row r="558" spans="1:21">
      <c r="A558"/>
      <c r="T558" s="79"/>
      <c r="U558" s="79"/>
    </row>
    <row r="559" spans="1:21">
      <c r="A559"/>
      <c r="T559" s="79"/>
      <c r="U559" s="79"/>
    </row>
    <row r="560" spans="1:21">
      <c r="A560"/>
      <c r="T560" s="79"/>
      <c r="U560" s="79"/>
    </row>
    <row r="561" spans="1:21">
      <c r="A561"/>
      <c r="T561" s="79"/>
      <c r="U561" s="79"/>
    </row>
    <row r="562" spans="1:21">
      <c r="A562"/>
      <c r="T562" s="79"/>
      <c r="U562" s="79"/>
    </row>
    <row r="563" spans="1:21">
      <c r="A563"/>
      <c r="T563" s="79"/>
      <c r="U563" s="79"/>
    </row>
    <row r="564" spans="1:21">
      <c r="A564"/>
      <c r="T564" s="79"/>
      <c r="U564" s="79"/>
    </row>
    <row r="565" spans="1:21">
      <c r="A565"/>
      <c r="T565" s="79"/>
      <c r="U565" s="79"/>
    </row>
    <row r="566" spans="1:21">
      <c r="A566"/>
      <c r="T566" s="79"/>
      <c r="U566" s="79"/>
    </row>
    <row r="567" spans="1:21">
      <c r="A567"/>
      <c r="T567" s="79"/>
      <c r="U567" s="79"/>
    </row>
    <row r="568" spans="1:21">
      <c r="A568"/>
      <c r="T568" s="79"/>
      <c r="U568" s="79"/>
    </row>
    <row r="569" spans="1:21">
      <c r="A569"/>
      <c r="T569" s="79"/>
      <c r="U569" s="79"/>
    </row>
    <row r="570" spans="1:21">
      <c r="A570"/>
      <c r="T570" s="79"/>
      <c r="U570" s="79"/>
    </row>
    <row r="571" spans="1:21">
      <c r="A571"/>
      <c r="T571" s="79"/>
      <c r="U571" s="79"/>
    </row>
    <row r="572" spans="1:21">
      <c r="A572"/>
      <c r="T572" s="79"/>
      <c r="U572" s="79"/>
    </row>
    <row r="573" spans="1:21">
      <c r="A573"/>
      <c r="T573" s="79"/>
      <c r="U573" s="79"/>
    </row>
    <row r="574" spans="1:21">
      <c r="A574"/>
      <c r="T574" s="79"/>
      <c r="U574" s="79"/>
    </row>
    <row r="575" spans="1:21">
      <c r="A575"/>
      <c r="T575" s="79"/>
      <c r="U575" s="79"/>
    </row>
    <row r="576" spans="1:21">
      <c r="A576"/>
      <c r="T576" s="79"/>
      <c r="U576" s="79"/>
    </row>
    <row r="577" spans="1:21">
      <c r="A577"/>
      <c r="T577" s="79"/>
      <c r="U577" s="79"/>
    </row>
    <row r="578" spans="1:21">
      <c r="A578"/>
      <c r="T578" s="79"/>
      <c r="U578" s="79"/>
    </row>
    <row r="579" spans="1:21">
      <c r="A579"/>
      <c r="T579" s="79"/>
      <c r="U579" s="79"/>
    </row>
    <row r="580" spans="1:21">
      <c r="A580"/>
      <c r="T580" s="79"/>
      <c r="U580" s="79"/>
    </row>
    <row r="581" spans="1:21">
      <c r="A581"/>
      <c r="T581" s="79"/>
      <c r="U581" s="79"/>
    </row>
    <row r="582" spans="1:21">
      <c r="A582"/>
      <c r="T582" s="79"/>
      <c r="U582" s="79"/>
    </row>
    <row r="583" spans="1:21">
      <c r="A583"/>
      <c r="T583" s="79"/>
      <c r="U583" s="79"/>
    </row>
    <row r="584" spans="1:21">
      <c r="A584"/>
      <c r="T584" s="79"/>
      <c r="U584" s="79"/>
    </row>
    <row r="585" spans="1:21">
      <c r="A585"/>
      <c r="T585" s="79"/>
      <c r="U585" s="79"/>
    </row>
    <row r="586" spans="1:21">
      <c r="A586"/>
      <c r="T586" s="79"/>
      <c r="U586" s="79"/>
    </row>
    <row r="587" spans="1:21">
      <c r="A587"/>
      <c r="T587" s="79"/>
      <c r="U587" s="79"/>
    </row>
    <row r="588" spans="1:21">
      <c r="A588"/>
      <c r="T588" s="79"/>
      <c r="U588" s="79"/>
    </row>
    <row r="589" spans="1:21">
      <c r="A589"/>
      <c r="T589" s="79"/>
      <c r="U589" s="79"/>
    </row>
    <row r="590" spans="1:21">
      <c r="A590"/>
      <c r="T590" s="79"/>
      <c r="U590" s="79"/>
    </row>
    <row r="591" spans="1:21">
      <c r="A591"/>
      <c r="T591" s="79"/>
      <c r="U591" s="79"/>
    </row>
    <row r="592" spans="1:21">
      <c r="A592"/>
      <c r="T592" s="79"/>
      <c r="U592" s="79"/>
    </row>
    <row r="593" spans="1:21">
      <c r="A593"/>
      <c r="T593" s="79"/>
      <c r="U593" s="79"/>
    </row>
    <row r="594" spans="1:21">
      <c r="A594"/>
      <c r="T594" s="79"/>
      <c r="U594" s="79"/>
    </row>
    <row r="595" spans="1:21">
      <c r="A595"/>
      <c r="T595" s="79"/>
      <c r="U595" s="79"/>
    </row>
    <row r="596" spans="1:21">
      <c r="A596"/>
      <c r="T596" s="79"/>
      <c r="U596" s="79"/>
    </row>
    <row r="597" spans="1:21">
      <c r="A597"/>
      <c r="T597" s="79"/>
      <c r="U597" s="79"/>
    </row>
    <row r="598" spans="1:21">
      <c r="A598"/>
      <c r="T598" s="79"/>
      <c r="U598" s="79"/>
    </row>
    <row r="599" spans="1:21">
      <c r="A599"/>
      <c r="T599" s="79"/>
      <c r="U599" s="79"/>
    </row>
    <row r="600" spans="1:21">
      <c r="A600"/>
      <c r="T600" s="79"/>
      <c r="U600" s="79"/>
    </row>
    <row r="601" spans="1:21">
      <c r="A601"/>
      <c r="T601" s="79"/>
      <c r="U601" s="79"/>
    </row>
    <row r="602" spans="1:21">
      <c r="A602" s="3"/>
      <c r="B602" s="2"/>
      <c r="C602" s="2"/>
      <c r="D602" s="2"/>
      <c r="E602" s="2"/>
      <c r="F602" s="2"/>
      <c r="G602" s="2"/>
      <c r="H602" s="2"/>
      <c r="I602" s="2"/>
      <c r="J602" s="2"/>
      <c r="T602" s="79"/>
      <c r="U602" s="79"/>
    </row>
    <row r="603" spans="1:21">
      <c r="A603" s="3"/>
      <c r="B603" s="2"/>
      <c r="C603" s="2"/>
      <c r="D603" s="2"/>
      <c r="E603" s="2"/>
      <c r="F603" s="2"/>
      <c r="G603" s="2"/>
      <c r="H603" s="2"/>
      <c r="I603" s="2"/>
      <c r="J603" s="2"/>
      <c r="T603" s="79"/>
      <c r="U603" s="79"/>
    </row>
    <row r="604" spans="1:21">
      <c r="A604" s="3"/>
      <c r="B604" s="2"/>
      <c r="C604" s="2"/>
      <c r="D604" s="2"/>
      <c r="E604" s="2"/>
      <c r="F604" s="2"/>
      <c r="G604" s="2"/>
      <c r="H604" s="2"/>
      <c r="I604" s="2"/>
      <c r="J604" s="2"/>
      <c r="T604" s="79"/>
      <c r="U604" s="79"/>
    </row>
    <row r="605" spans="1:21">
      <c r="A605" s="3"/>
      <c r="B605" s="2"/>
      <c r="C605" s="2"/>
      <c r="D605" s="2"/>
      <c r="E605" s="2"/>
      <c r="F605" s="2"/>
      <c r="G605" s="2"/>
      <c r="H605" s="2"/>
      <c r="I605" s="2"/>
      <c r="J605" s="2"/>
      <c r="T605" s="79"/>
      <c r="U605" s="79"/>
    </row>
    <row r="606" spans="1:21">
      <c r="T606" s="79"/>
      <c r="U606" s="79"/>
    </row>
    <row r="607" spans="1:21">
      <c r="T607" s="79"/>
      <c r="U607" s="79"/>
    </row>
    <row r="608" spans="1:21">
      <c r="T608" s="79"/>
      <c r="U608" s="79"/>
    </row>
    <row r="609" spans="20:21">
      <c r="T609" s="79"/>
      <c r="U609" s="79"/>
    </row>
    <row r="610" spans="20:21">
      <c r="T610" s="79"/>
      <c r="U610" s="79"/>
    </row>
    <row r="611" spans="20:21">
      <c r="T611" s="79"/>
      <c r="U611" s="79"/>
    </row>
    <row r="612" spans="20:21">
      <c r="T612" s="79"/>
      <c r="U612" s="79"/>
    </row>
    <row r="613" spans="20:21">
      <c r="T613" s="79"/>
      <c r="U613" s="79"/>
    </row>
    <row r="614" spans="20:21">
      <c r="T614" s="79"/>
      <c r="U614" s="79"/>
    </row>
    <row r="615" spans="20:21">
      <c r="T615" s="79"/>
      <c r="U615" s="79"/>
    </row>
    <row r="616" spans="20:21">
      <c r="T616" s="79"/>
      <c r="U616" s="79"/>
    </row>
    <row r="617" spans="20:21">
      <c r="T617" s="79"/>
      <c r="U617" s="79"/>
    </row>
    <row r="618" spans="20:21">
      <c r="T618" s="79"/>
      <c r="U618" s="79"/>
    </row>
    <row r="619" spans="20:21">
      <c r="T619" s="79"/>
      <c r="U619" s="79"/>
    </row>
    <row r="620" spans="20:21">
      <c r="T620" s="79"/>
      <c r="U620" s="79"/>
    </row>
    <row r="621" spans="20:21">
      <c r="T621" s="79"/>
      <c r="U621" s="79"/>
    </row>
    <row r="622" spans="20:21">
      <c r="T622" s="79"/>
      <c r="U622" s="79"/>
    </row>
    <row r="623" spans="20:21">
      <c r="T623" s="79"/>
      <c r="U623" s="79"/>
    </row>
    <row r="624" spans="20:21">
      <c r="T624" s="79"/>
      <c r="U624" s="79"/>
    </row>
    <row r="625" spans="20:21">
      <c r="T625" s="79"/>
      <c r="U625" s="79"/>
    </row>
    <row r="626" spans="20:21">
      <c r="T626" s="79"/>
      <c r="U626" s="79"/>
    </row>
    <row r="627" spans="20:21">
      <c r="T627" s="79"/>
      <c r="U627" s="79"/>
    </row>
    <row r="628" spans="20:21">
      <c r="T628" s="79"/>
      <c r="U628" s="79"/>
    </row>
    <row r="629" spans="20:21">
      <c r="T629" s="79"/>
      <c r="U629" s="79"/>
    </row>
    <row r="630" spans="20:21">
      <c r="T630" s="79"/>
      <c r="U630" s="79"/>
    </row>
    <row r="631" spans="20:21">
      <c r="T631" s="79"/>
      <c r="U631" s="79"/>
    </row>
    <row r="632" spans="20:21">
      <c r="T632" s="79"/>
      <c r="U632" s="79"/>
    </row>
    <row r="633" spans="20:21">
      <c r="T633" s="79"/>
      <c r="U633" s="79"/>
    </row>
    <row r="634" spans="20:21">
      <c r="T634" s="79"/>
      <c r="U634" s="79"/>
    </row>
    <row r="635" spans="20:21">
      <c r="T635" s="79"/>
      <c r="U635" s="79"/>
    </row>
    <row r="636" spans="20:21">
      <c r="T636" s="79"/>
      <c r="U636" s="79"/>
    </row>
    <row r="637" spans="20:21">
      <c r="T637" s="79"/>
      <c r="U637" s="79"/>
    </row>
    <row r="638" spans="20:21">
      <c r="T638" s="79"/>
      <c r="U638" s="79"/>
    </row>
    <row r="639" spans="20:21">
      <c r="T639" s="79"/>
      <c r="U639" s="79"/>
    </row>
    <row r="640" spans="20:21">
      <c r="T640" s="79"/>
      <c r="U640" s="79"/>
    </row>
    <row r="641" spans="20:21">
      <c r="T641" s="79"/>
      <c r="U641" s="79"/>
    </row>
    <row r="642" spans="20:21">
      <c r="T642" s="79"/>
      <c r="U642" s="79"/>
    </row>
    <row r="643" spans="20:21">
      <c r="T643" s="79"/>
      <c r="U643" s="79"/>
    </row>
    <row r="644" spans="20:21">
      <c r="T644" s="79"/>
      <c r="U644" s="79"/>
    </row>
    <row r="645" spans="20:21">
      <c r="T645" s="79"/>
      <c r="U645" s="79"/>
    </row>
    <row r="646" spans="20:21">
      <c r="T646" s="79"/>
      <c r="U646" s="79"/>
    </row>
    <row r="647" spans="20:21">
      <c r="T647" s="79"/>
      <c r="U647" s="79"/>
    </row>
    <row r="648" spans="20:21">
      <c r="T648" s="79"/>
      <c r="U648" s="79"/>
    </row>
    <row r="649" spans="20:21">
      <c r="T649" s="79"/>
      <c r="U649" s="79"/>
    </row>
    <row r="650" spans="20:21">
      <c r="T650" s="79"/>
      <c r="U650" s="79"/>
    </row>
    <row r="651" spans="20:21">
      <c r="T651" s="79"/>
      <c r="U651" s="79"/>
    </row>
    <row r="652" spans="20:21">
      <c r="T652" s="79"/>
      <c r="U652" s="79"/>
    </row>
    <row r="653" spans="20:21">
      <c r="T653" s="79"/>
      <c r="U653" s="79"/>
    </row>
    <row r="654" spans="20:21">
      <c r="T654" s="79"/>
      <c r="U654" s="79"/>
    </row>
    <row r="655" spans="20:21">
      <c r="T655" s="79"/>
      <c r="U655" s="79"/>
    </row>
    <row r="656" spans="20:21">
      <c r="T656" s="79"/>
      <c r="U656" s="79"/>
    </row>
    <row r="657" spans="20:21">
      <c r="T657" s="79"/>
      <c r="U657" s="79"/>
    </row>
    <row r="658" spans="20:21">
      <c r="T658" s="79"/>
      <c r="U658" s="79"/>
    </row>
    <row r="659" spans="20:21">
      <c r="T659" s="79"/>
      <c r="U659" s="79"/>
    </row>
    <row r="660" spans="20:21">
      <c r="T660" s="79"/>
      <c r="U660" s="79"/>
    </row>
    <row r="661" spans="20:21">
      <c r="T661" s="79"/>
      <c r="U661" s="79"/>
    </row>
    <row r="662" spans="20:21">
      <c r="T662" s="79"/>
      <c r="U662" s="79"/>
    </row>
    <row r="663" spans="20:21">
      <c r="T663" s="79"/>
      <c r="U663" s="79"/>
    </row>
    <row r="664" spans="20:21">
      <c r="T664" s="79"/>
      <c r="U664" s="79"/>
    </row>
    <row r="665" spans="20:21">
      <c r="T665" s="79"/>
      <c r="U665" s="79"/>
    </row>
    <row r="666" spans="20:21">
      <c r="T666" s="79"/>
      <c r="U666" s="79"/>
    </row>
    <row r="667" spans="20:21">
      <c r="T667" s="79"/>
      <c r="U667" s="79"/>
    </row>
    <row r="668" spans="20:21">
      <c r="T668" s="79"/>
      <c r="U668" s="79"/>
    </row>
    <row r="669" spans="20:21">
      <c r="T669" s="79"/>
      <c r="U669" s="79"/>
    </row>
    <row r="670" spans="20:21">
      <c r="T670" s="79"/>
      <c r="U670" s="79"/>
    </row>
    <row r="671" spans="20:21">
      <c r="T671" s="79"/>
      <c r="U671" s="79"/>
    </row>
    <row r="672" spans="20:21">
      <c r="T672" s="79"/>
      <c r="U672" s="79"/>
    </row>
    <row r="673" spans="20:21">
      <c r="T673" s="79"/>
      <c r="U673" s="79"/>
    </row>
    <row r="674" spans="20:21">
      <c r="T674" s="79"/>
      <c r="U674" s="79"/>
    </row>
    <row r="675" spans="20:21">
      <c r="T675" s="79"/>
      <c r="U675" s="79"/>
    </row>
    <row r="676" spans="20:21">
      <c r="T676" s="79"/>
      <c r="U676" s="79"/>
    </row>
    <row r="677" spans="20:21">
      <c r="T677" s="79"/>
      <c r="U677" s="79"/>
    </row>
    <row r="678" spans="20:21">
      <c r="T678" s="79"/>
      <c r="U678" s="79"/>
    </row>
    <row r="679" spans="20:21">
      <c r="T679" s="79"/>
      <c r="U679" s="79"/>
    </row>
    <row r="680" spans="20:21">
      <c r="T680" s="79"/>
      <c r="U680" s="79"/>
    </row>
    <row r="681" spans="20:21">
      <c r="T681" s="79"/>
      <c r="U681" s="79"/>
    </row>
    <row r="682" spans="20:21">
      <c r="T682" s="79"/>
      <c r="U682" s="79"/>
    </row>
    <row r="683" spans="20:21">
      <c r="T683" s="79"/>
      <c r="U683" s="79"/>
    </row>
    <row r="684" spans="20:21">
      <c r="T684" s="79"/>
      <c r="U684" s="79"/>
    </row>
    <row r="685" spans="20:21">
      <c r="T685" s="79"/>
      <c r="U685" s="79"/>
    </row>
    <row r="686" spans="20:21">
      <c r="T686" s="79"/>
      <c r="U686" s="79"/>
    </row>
    <row r="687" spans="20:21">
      <c r="T687" s="79"/>
      <c r="U687" s="79"/>
    </row>
    <row r="688" spans="20:21">
      <c r="T688" s="79"/>
      <c r="U688" s="79"/>
    </row>
    <row r="689" spans="20:21">
      <c r="T689" s="79"/>
      <c r="U689" s="79"/>
    </row>
    <row r="690" spans="20:21">
      <c r="T690" s="79"/>
      <c r="U690" s="79"/>
    </row>
    <row r="691" spans="20:21">
      <c r="T691" s="79"/>
      <c r="U691" s="79"/>
    </row>
    <row r="692" spans="20:21">
      <c r="T692" s="79"/>
      <c r="U692" s="79"/>
    </row>
    <row r="693" spans="20:21">
      <c r="T693" s="79"/>
      <c r="U693" s="79"/>
    </row>
    <row r="694" spans="20:21">
      <c r="T694" s="79"/>
      <c r="U694" s="79"/>
    </row>
    <row r="695" spans="20:21">
      <c r="T695" s="79"/>
      <c r="U695" s="79"/>
    </row>
    <row r="696" spans="20:21">
      <c r="T696" s="79"/>
      <c r="U696" s="79"/>
    </row>
    <row r="697" spans="20:21">
      <c r="T697" s="79"/>
      <c r="U697" s="79"/>
    </row>
    <row r="698" spans="20:21">
      <c r="T698" s="79"/>
      <c r="U698" s="79"/>
    </row>
    <row r="699" spans="20:21">
      <c r="T699" s="79"/>
      <c r="U699" s="79"/>
    </row>
    <row r="700" spans="20:21">
      <c r="T700" s="79"/>
      <c r="U700" s="79"/>
    </row>
    <row r="701" spans="20:21">
      <c r="T701" s="79"/>
      <c r="U701" s="79"/>
    </row>
    <row r="702" spans="20:21">
      <c r="T702" s="79"/>
      <c r="U702" s="79"/>
    </row>
    <row r="703" spans="20:21">
      <c r="T703" s="79"/>
      <c r="U703" s="79"/>
    </row>
    <row r="704" spans="20:21">
      <c r="T704" s="79"/>
      <c r="U704" s="79"/>
    </row>
    <row r="705" spans="20:21">
      <c r="T705" s="79"/>
      <c r="U705" s="79"/>
    </row>
    <row r="706" spans="20:21">
      <c r="T706" s="79"/>
      <c r="U706" s="79"/>
    </row>
    <row r="707" spans="20:21">
      <c r="T707" s="79"/>
      <c r="U707" s="79"/>
    </row>
    <row r="708" spans="20:21">
      <c r="T708" s="79"/>
      <c r="U708" s="79"/>
    </row>
    <row r="709" spans="20:21">
      <c r="T709" s="79"/>
      <c r="U709" s="79"/>
    </row>
    <row r="710" spans="20:21">
      <c r="T710" s="79"/>
      <c r="U710" s="79"/>
    </row>
    <row r="711" spans="20:21">
      <c r="T711" s="79"/>
      <c r="U711" s="79"/>
    </row>
    <row r="712" spans="20:21">
      <c r="T712" s="79"/>
      <c r="U712" s="79"/>
    </row>
    <row r="713" spans="20:21">
      <c r="T713" s="79"/>
      <c r="U713" s="79"/>
    </row>
    <row r="714" spans="20:21">
      <c r="T714" s="79"/>
      <c r="U714" s="79"/>
    </row>
    <row r="715" spans="20:21">
      <c r="T715" s="79"/>
      <c r="U715" s="79"/>
    </row>
    <row r="716" spans="20:21">
      <c r="T716" s="79"/>
      <c r="U716" s="79"/>
    </row>
    <row r="717" spans="20:21">
      <c r="T717" s="79"/>
      <c r="U717" s="79"/>
    </row>
    <row r="718" spans="20:21">
      <c r="T718" s="79"/>
      <c r="U718" s="79"/>
    </row>
    <row r="719" spans="20:21">
      <c r="T719" s="79"/>
      <c r="U719" s="79"/>
    </row>
    <row r="720" spans="20:21">
      <c r="T720" s="79"/>
      <c r="U720" s="79"/>
    </row>
    <row r="721" spans="20:21">
      <c r="T721" s="79"/>
      <c r="U721" s="79"/>
    </row>
    <row r="722" spans="20:21">
      <c r="T722" s="79"/>
      <c r="U722" s="79"/>
    </row>
    <row r="723" spans="20:21">
      <c r="T723" s="79"/>
      <c r="U723" s="79"/>
    </row>
    <row r="724" spans="20:21">
      <c r="T724" s="79"/>
      <c r="U724" s="79"/>
    </row>
    <row r="725" spans="20:21">
      <c r="T725" s="79"/>
      <c r="U725" s="79"/>
    </row>
    <row r="726" spans="20:21">
      <c r="T726" s="79"/>
      <c r="U726" s="79"/>
    </row>
    <row r="727" spans="20:21">
      <c r="T727" s="79"/>
      <c r="U727" s="79"/>
    </row>
    <row r="728" spans="20:21">
      <c r="T728" s="79"/>
      <c r="U728" s="79"/>
    </row>
    <row r="729" spans="20:21">
      <c r="T729" s="79"/>
      <c r="U729" s="79"/>
    </row>
    <row r="730" spans="20:21">
      <c r="T730" s="79"/>
      <c r="U730" s="79"/>
    </row>
    <row r="731" spans="20:21">
      <c r="T731" s="79"/>
      <c r="U731" s="79"/>
    </row>
    <row r="732" spans="20:21">
      <c r="T732" s="79"/>
      <c r="U732" s="79"/>
    </row>
    <row r="733" spans="20:21">
      <c r="T733" s="79"/>
      <c r="U733" s="79"/>
    </row>
    <row r="734" spans="20:21">
      <c r="T734" s="79"/>
      <c r="U734" s="79"/>
    </row>
    <row r="735" spans="20:21">
      <c r="T735" s="79"/>
      <c r="U735" s="79"/>
    </row>
    <row r="736" spans="20:21">
      <c r="T736" s="79"/>
      <c r="U736" s="79"/>
    </row>
    <row r="737" spans="20:21">
      <c r="T737" s="79"/>
      <c r="U737" s="79"/>
    </row>
    <row r="738" spans="20:21">
      <c r="T738" s="79"/>
      <c r="U738" s="79"/>
    </row>
    <row r="739" spans="20:21">
      <c r="T739" s="79"/>
      <c r="U739" s="79"/>
    </row>
    <row r="740" spans="20:21">
      <c r="T740" s="79"/>
      <c r="U740" s="79"/>
    </row>
    <row r="741" spans="20:21">
      <c r="T741" s="79"/>
      <c r="U741" s="79"/>
    </row>
    <row r="742" spans="20:21">
      <c r="T742" s="79"/>
      <c r="U742" s="79"/>
    </row>
    <row r="743" spans="20:21">
      <c r="T743" s="79"/>
      <c r="U743" s="79"/>
    </row>
    <row r="744" spans="20:21">
      <c r="T744" s="79"/>
      <c r="U744" s="79"/>
    </row>
    <row r="745" spans="20:21">
      <c r="T745" s="79"/>
      <c r="U745" s="79"/>
    </row>
    <row r="746" spans="20:21">
      <c r="T746" s="79"/>
      <c r="U746" s="79"/>
    </row>
    <row r="747" spans="20:21">
      <c r="T747" s="79"/>
      <c r="U747" s="79"/>
    </row>
    <row r="748" spans="20:21">
      <c r="T748" s="79"/>
      <c r="U748" s="79"/>
    </row>
    <row r="749" spans="20:21">
      <c r="T749" s="79"/>
      <c r="U749" s="79"/>
    </row>
    <row r="750" spans="20:21">
      <c r="T750" s="79"/>
      <c r="U750" s="79"/>
    </row>
    <row r="751" spans="20:21">
      <c r="T751" s="79"/>
      <c r="U751" s="79"/>
    </row>
    <row r="752" spans="20:21">
      <c r="T752" s="79"/>
      <c r="U752" s="79"/>
    </row>
    <row r="753" spans="20:21">
      <c r="T753" s="79"/>
      <c r="U753" s="79"/>
    </row>
    <row r="754" spans="20:21">
      <c r="T754" s="79"/>
      <c r="U754" s="79"/>
    </row>
    <row r="755" spans="20:21">
      <c r="T755" s="79"/>
      <c r="U755" s="79"/>
    </row>
    <row r="756" spans="20:21">
      <c r="T756" s="79"/>
      <c r="U756" s="79"/>
    </row>
    <row r="757" spans="20:21">
      <c r="T757" s="79"/>
      <c r="U757" s="79"/>
    </row>
    <row r="758" spans="20:21">
      <c r="T758" s="79"/>
      <c r="U758" s="79"/>
    </row>
    <row r="759" spans="20:21">
      <c r="T759" s="79"/>
      <c r="U759" s="79"/>
    </row>
    <row r="760" spans="20:21">
      <c r="T760" s="79"/>
      <c r="U760" s="79"/>
    </row>
    <row r="761" spans="20:21">
      <c r="T761" s="79"/>
      <c r="U761" s="79"/>
    </row>
    <row r="762" spans="20:21">
      <c r="T762" s="79"/>
      <c r="U762" s="79"/>
    </row>
    <row r="763" spans="20:21">
      <c r="T763" s="79"/>
      <c r="U763" s="79"/>
    </row>
    <row r="764" spans="20:21">
      <c r="T764" s="79"/>
      <c r="U764" s="79"/>
    </row>
    <row r="765" spans="20:21">
      <c r="T765" s="79"/>
      <c r="U765" s="79"/>
    </row>
    <row r="766" spans="20:21">
      <c r="T766" s="79"/>
      <c r="U766" s="79"/>
    </row>
    <row r="767" spans="20:21">
      <c r="T767" s="79"/>
      <c r="U767" s="79"/>
    </row>
    <row r="768" spans="20:21">
      <c r="T768" s="79"/>
      <c r="U768" s="79"/>
    </row>
    <row r="769" spans="20:21">
      <c r="T769" s="79"/>
      <c r="U769" s="79"/>
    </row>
    <row r="770" spans="20:21">
      <c r="T770" s="79"/>
      <c r="U770" s="79"/>
    </row>
    <row r="771" spans="20:21">
      <c r="T771" s="79"/>
      <c r="U771" s="79"/>
    </row>
    <row r="772" spans="20:21">
      <c r="T772" s="79"/>
      <c r="U772" s="79"/>
    </row>
    <row r="773" spans="20:21">
      <c r="T773" s="79"/>
      <c r="U773" s="79"/>
    </row>
    <row r="774" spans="20:21">
      <c r="T774" s="79"/>
      <c r="U774" s="79"/>
    </row>
    <row r="775" spans="20:21">
      <c r="T775" s="79"/>
      <c r="U775" s="79"/>
    </row>
    <row r="776" spans="20:21">
      <c r="T776" s="79"/>
      <c r="U776" s="79"/>
    </row>
    <row r="777" spans="20:21">
      <c r="T777" s="79"/>
      <c r="U777" s="79"/>
    </row>
    <row r="778" spans="20:21">
      <c r="T778" s="79"/>
      <c r="U778" s="79"/>
    </row>
    <row r="779" spans="20:21">
      <c r="T779" s="79"/>
      <c r="U779" s="79"/>
    </row>
    <row r="780" spans="20:21">
      <c r="T780" s="79"/>
      <c r="U780" s="79"/>
    </row>
    <row r="781" spans="20:21">
      <c r="T781" s="79"/>
      <c r="U781" s="79"/>
    </row>
    <row r="782" spans="20:21">
      <c r="T782" s="79"/>
      <c r="U782" s="79"/>
    </row>
    <row r="783" spans="20:21">
      <c r="T783" s="79"/>
      <c r="U783" s="79"/>
    </row>
    <row r="784" spans="20:21">
      <c r="T784" s="79"/>
      <c r="U784" s="79"/>
    </row>
    <row r="785" spans="20:21">
      <c r="T785" s="79"/>
      <c r="U785" s="79"/>
    </row>
    <row r="786" spans="20:21">
      <c r="T786" s="79"/>
      <c r="U786" s="79"/>
    </row>
    <row r="787" spans="20:21">
      <c r="T787" s="79"/>
      <c r="U787" s="79"/>
    </row>
    <row r="788" spans="20:21">
      <c r="T788" s="79"/>
      <c r="U788" s="79"/>
    </row>
    <row r="789" spans="20:21">
      <c r="T789" s="79"/>
      <c r="U789" s="79"/>
    </row>
    <row r="790" spans="20:21">
      <c r="T790" s="79"/>
      <c r="U790" s="79"/>
    </row>
    <row r="791" spans="20:21">
      <c r="T791" s="79"/>
      <c r="U791" s="79"/>
    </row>
    <row r="792" spans="20:21">
      <c r="T792" s="79"/>
      <c r="U792" s="79"/>
    </row>
    <row r="793" spans="20:21">
      <c r="T793" s="79"/>
      <c r="U793" s="79"/>
    </row>
    <row r="794" spans="20:21">
      <c r="T794" s="79"/>
      <c r="U794" s="79"/>
    </row>
    <row r="795" spans="20:21">
      <c r="T795" s="79"/>
      <c r="U795" s="79"/>
    </row>
    <row r="796" spans="20:21">
      <c r="T796" s="79"/>
      <c r="U796" s="79"/>
    </row>
    <row r="797" spans="20:21">
      <c r="T797" s="79"/>
      <c r="U797" s="79"/>
    </row>
    <row r="798" spans="20:21">
      <c r="T798" s="79"/>
      <c r="U798" s="79"/>
    </row>
    <row r="799" spans="20:21">
      <c r="T799" s="79"/>
      <c r="U799" s="79"/>
    </row>
    <row r="800" spans="20:21">
      <c r="T800" s="79"/>
      <c r="U800" s="79"/>
    </row>
    <row r="801" spans="20:21">
      <c r="T801" s="79"/>
      <c r="U801" s="79"/>
    </row>
    <row r="802" spans="20:21">
      <c r="T802" s="79"/>
      <c r="U802" s="79"/>
    </row>
    <row r="803" spans="20:21">
      <c r="T803" s="79"/>
      <c r="U803" s="79"/>
    </row>
    <row r="804" spans="20:21">
      <c r="T804" s="79"/>
      <c r="U804" s="79"/>
    </row>
    <row r="805" spans="20:21">
      <c r="T805" s="79"/>
      <c r="U805" s="79"/>
    </row>
    <row r="806" spans="20:21">
      <c r="T806" s="79"/>
      <c r="U806" s="79"/>
    </row>
    <row r="807" spans="20:21">
      <c r="T807" s="79"/>
      <c r="U807" s="79"/>
    </row>
    <row r="808" spans="20:21">
      <c r="T808" s="79"/>
      <c r="U808" s="79"/>
    </row>
    <row r="809" spans="20:21">
      <c r="T809" s="79"/>
      <c r="U809" s="79"/>
    </row>
    <row r="810" spans="20:21">
      <c r="T810" s="79"/>
      <c r="U810" s="79"/>
    </row>
    <row r="811" spans="20:21">
      <c r="T811" s="79"/>
      <c r="U811" s="79"/>
    </row>
    <row r="812" spans="20:21">
      <c r="T812" s="79"/>
      <c r="U812" s="79"/>
    </row>
    <row r="813" spans="20:21">
      <c r="T813" s="79"/>
      <c r="U813" s="79"/>
    </row>
    <row r="814" spans="20:21">
      <c r="T814" s="79"/>
      <c r="U814" s="79"/>
    </row>
    <row r="815" spans="20:21">
      <c r="T815" s="79"/>
      <c r="U815" s="79"/>
    </row>
    <row r="816" spans="20:21">
      <c r="T816" s="79"/>
      <c r="U816" s="79"/>
    </row>
    <row r="817" spans="20:21">
      <c r="T817" s="79"/>
      <c r="U817" s="79"/>
    </row>
    <row r="818" spans="20:21">
      <c r="T818" s="79"/>
      <c r="U818" s="79"/>
    </row>
    <row r="819" spans="20:21">
      <c r="T819" s="79"/>
      <c r="U819" s="79"/>
    </row>
    <row r="820" spans="20:21">
      <c r="T820" s="79"/>
      <c r="U820" s="79"/>
    </row>
    <row r="821" spans="20:21">
      <c r="T821" s="79"/>
      <c r="U821" s="79"/>
    </row>
    <row r="822" spans="20:21">
      <c r="T822" s="79"/>
      <c r="U822" s="79"/>
    </row>
    <row r="823" spans="20:21">
      <c r="T823" s="79"/>
      <c r="U823" s="79"/>
    </row>
    <row r="824" spans="20:21">
      <c r="T824" s="79"/>
      <c r="U824" s="79"/>
    </row>
    <row r="825" spans="20:21">
      <c r="T825" s="79"/>
      <c r="U825" s="79"/>
    </row>
    <row r="826" spans="20:21">
      <c r="T826" s="79"/>
      <c r="U826" s="79"/>
    </row>
    <row r="827" spans="20:21">
      <c r="T827" s="79"/>
      <c r="U827" s="79"/>
    </row>
    <row r="828" spans="20:21">
      <c r="T828" s="79"/>
      <c r="U828" s="79"/>
    </row>
    <row r="829" spans="20:21">
      <c r="T829" s="79"/>
      <c r="U829" s="79"/>
    </row>
    <row r="830" spans="20:21">
      <c r="T830" s="79"/>
      <c r="U830" s="79"/>
    </row>
    <row r="831" spans="20:21">
      <c r="T831" s="79"/>
      <c r="U831" s="79"/>
    </row>
    <row r="832" spans="20:21">
      <c r="T832" s="79"/>
      <c r="U832" s="79"/>
    </row>
    <row r="833" spans="20:21">
      <c r="T833" s="79"/>
      <c r="U833" s="79"/>
    </row>
    <row r="834" spans="20:21">
      <c r="T834" s="79"/>
      <c r="U834" s="79"/>
    </row>
    <row r="835" spans="20:21">
      <c r="T835" s="79"/>
      <c r="U835" s="79"/>
    </row>
    <row r="836" spans="20:21">
      <c r="T836" s="79"/>
      <c r="U836" s="79"/>
    </row>
    <row r="837" spans="20:21">
      <c r="T837" s="79"/>
      <c r="U837" s="79"/>
    </row>
    <row r="838" spans="20:21">
      <c r="T838" s="79"/>
      <c r="U838" s="79"/>
    </row>
    <row r="839" spans="20:21">
      <c r="T839" s="79"/>
      <c r="U839" s="79"/>
    </row>
    <row r="840" spans="20:21">
      <c r="T840" s="79"/>
      <c r="U840" s="79"/>
    </row>
    <row r="841" spans="20:21">
      <c r="T841" s="79"/>
      <c r="U841" s="79"/>
    </row>
    <row r="842" spans="20:21">
      <c r="T842" s="79"/>
      <c r="U842" s="79"/>
    </row>
    <row r="843" spans="20:21">
      <c r="T843" s="79"/>
      <c r="U843" s="79"/>
    </row>
    <row r="844" spans="20:21">
      <c r="T844" s="79"/>
      <c r="U844" s="79"/>
    </row>
    <row r="845" spans="20:21">
      <c r="T845" s="79"/>
      <c r="U845" s="79"/>
    </row>
    <row r="846" spans="20:21">
      <c r="T846" s="79"/>
      <c r="U846" s="79"/>
    </row>
    <row r="847" spans="20:21">
      <c r="T847" s="79"/>
      <c r="U847" s="79"/>
    </row>
    <row r="848" spans="20:21">
      <c r="T848" s="79"/>
      <c r="U848" s="79"/>
    </row>
    <row r="849" spans="20:21">
      <c r="T849" s="79"/>
      <c r="U849" s="79"/>
    </row>
    <row r="850" spans="20:21">
      <c r="T850" s="79"/>
      <c r="U850" s="79"/>
    </row>
    <row r="851" spans="20:21">
      <c r="T851" s="79"/>
      <c r="U851" s="79"/>
    </row>
    <row r="852" spans="20:21">
      <c r="T852" s="79"/>
      <c r="U852" s="79"/>
    </row>
    <row r="853" spans="20:21">
      <c r="T853" s="79"/>
      <c r="U853" s="79"/>
    </row>
    <row r="854" spans="20:21">
      <c r="T854" s="79"/>
      <c r="U854" s="79"/>
    </row>
    <row r="855" spans="20:21">
      <c r="T855" s="79"/>
      <c r="U855" s="79"/>
    </row>
    <row r="856" spans="20:21">
      <c r="T856" s="79"/>
      <c r="U856" s="79"/>
    </row>
    <row r="857" spans="20:21">
      <c r="T857" s="79"/>
      <c r="U857" s="79"/>
    </row>
    <row r="858" spans="20:21">
      <c r="T858" s="79"/>
      <c r="U858" s="79"/>
    </row>
    <row r="859" spans="20:21">
      <c r="T859" s="79"/>
      <c r="U859" s="79"/>
    </row>
    <row r="860" spans="20:21">
      <c r="T860" s="79"/>
      <c r="U860" s="79"/>
    </row>
    <row r="861" spans="20:21">
      <c r="T861" s="79"/>
      <c r="U861" s="79"/>
    </row>
    <row r="862" spans="20:21">
      <c r="T862" s="79"/>
      <c r="U862" s="79"/>
    </row>
    <row r="863" spans="20:21">
      <c r="T863" s="79"/>
      <c r="U863" s="79"/>
    </row>
    <row r="864" spans="20:21">
      <c r="T864" s="79"/>
      <c r="U864" s="79"/>
    </row>
    <row r="865" spans="20:21">
      <c r="T865" s="79"/>
      <c r="U865" s="79"/>
    </row>
    <row r="866" spans="20:21">
      <c r="T866" s="79"/>
      <c r="U866" s="79"/>
    </row>
    <row r="867" spans="20:21">
      <c r="T867" s="79"/>
      <c r="U867" s="79"/>
    </row>
    <row r="868" spans="20:21">
      <c r="T868" s="79"/>
      <c r="U868" s="79"/>
    </row>
    <row r="869" spans="20:21">
      <c r="T869" s="79"/>
      <c r="U869" s="79"/>
    </row>
    <row r="870" spans="20:21">
      <c r="T870" s="79"/>
      <c r="U870" s="79"/>
    </row>
    <row r="871" spans="20:21">
      <c r="T871" s="79"/>
      <c r="U871" s="79"/>
    </row>
    <row r="872" spans="20:21">
      <c r="T872" s="79"/>
      <c r="U872" s="79"/>
    </row>
    <row r="873" spans="20:21">
      <c r="T873" s="79"/>
      <c r="U873" s="79"/>
    </row>
    <row r="874" spans="20:21">
      <c r="T874" s="79"/>
      <c r="U874" s="79"/>
    </row>
    <row r="875" spans="20:21">
      <c r="T875" s="79"/>
      <c r="U875" s="79"/>
    </row>
    <row r="876" spans="20:21">
      <c r="T876" s="79"/>
      <c r="U876" s="79"/>
    </row>
    <row r="877" spans="20:21">
      <c r="T877" s="79"/>
      <c r="U877" s="79"/>
    </row>
    <row r="878" spans="20:21">
      <c r="T878" s="79"/>
      <c r="U878" s="79"/>
    </row>
    <row r="879" spans="20:21">
      <c r="T879" s="79"/>
      <c r="U879" s="79"/>
    </row>
    <row r="880" spans="20:21">
      <c r="T880" s="79"/>
      <c r="U880" s="79"/>
    </row>
    <row r="881" spans="20:21">
      <c r="T881" s="79"/>
      <c r="U881" s="79"/>
    </row>
    <row r="882" spans="20:21">
      <c r="T882" s="79"/>
      <c r="U882" s="79"/>
    </row>
    <row r="883" spans="20:21">
      <c r="T883" s="79"/>
      <c r="U883" s="79"/>
    </row>
    <row r="884" spans="20:21">
      <c r="T884" s="79"/>
      <c r="U884" s="79"/>
    </row>
    <row r="885" spans="20:21">
      <c r="T885" s="79"/>
      <c r="U885" s="79"/>
    </row>
    <row r="886" spans="20:21">
      <c r="T886" s="79"/>
      <c r="U886" s="79"/>
    </row>
    <row r="887" spans="20:21">
      <c r="T887" s="79"/>
      <c r="U887" s="79"/>
    </row>
    <row r="888" spans="20:21">
      <c r="T888" s="79"/>
      <c r="U888" s="79"/>
    </row>
    <row r="889" spans="20:21">
      <c r="T889" s="79"/>
      <c r="U889" s="79"/>
    </row>
    <row r="890" spans="20:21">
      <c r="T890" s="79"/>
      <c r="U890" s="79"/>
    </row>
    <row r="891" spans="20:21">
      <c r="T891" s="79"/>
      <c r="U891" s="79"/>
    </row>
    <row r="892" spans="20:21">
      <c r="T892" s="79"/>
      <c r="U892" s="79"/>
    </row>
    <row r="893" spans="20:21">
      <c r="T893" s="79"/>
      <c r="U893" s="79"/>
    </row>
    <row r="894" spans="20:21">
      <c r="T894" s="79"/>
      <c r="U894" s="79"/>
    </row>
    <row r="895" spans="20:21">
      <c r="T895" s="79"/>
      <c r="U895" s="79"/>
    </row>
    <row r="896" spans="20:21">
      <c r="T896" s="79"/>
      <c r="U896" s="79"/>
    </row>
    <row r="897" spans="20:21">
      <c r="T897" s="79"/>
      <c r="U897" s="79"/>
    </row>
    <row r="898" spans="20:21">
      <c r="T898" s="79"/>
      <c r="U898" s="79"/>
    </row>
    <row r="899" spans="20:21">
      <c r="T899" s="79"/>
      <c r="U899" s="79"/>
    </row>
    <row r="900" spans="20:21">
      <c r="T900" s="79"/>
      <c r="U900" s="79"/>
    </row>
    <row r="901" spans="20:21">
      <c r="T901" s="79"/>
      <c r="U901" s="79"/>
    </row>
    <row r="902" spans="20:21">
      <c r="T902" s="79"/>
      <c r="U902" s="79"/>
    </row>
    <row r="903" spans="20:21">
      <c r="T903" s="79"/>
      <c r="U903" s="79"/>
    </row>
    <row r="904" spans="20:21">
      <c r="T904" s="79"/>
      <c r="U904" s="79"/>
    </row>
    <row r="905" spans="20:21">
      <c r="T905" s="79"/>
      <c r="U905" s="79"/>
    </row>
    <row r="906" spans="20:21">
      <c r="T906" s="79"/>
      <c r="U906" s="79"/>
    </row>
    <row r="907" spans="20:21">
      <c r="T907" s="79"/>
      <c r="U907" s="79"/>
    </row>
    <row r="908" spans="20:21">
      <c r="T908" s="79"/>
      <c r="U908" s="79"/>
    </row>
    <row r="909" spans="20:21">
      <c r="T909" s="79"/>
      <c r="U909" s="79"/>
    </row>
    <row r="910" spans="20:21">
      <c r="T910" s="79"/>
      <c r="U910" s="79"/>
    </row>
    <row r="911" spans="20:21">
      <c r="T911" s="79"/>
      <c r="U911" s="79"/>
    </row>
    <row r="912" spans="20:21">
      <c r="T912" s="79"/>
      <c r="U912" s="79"/>
    </row>
    <row r="913" spans="20:21">
      <c r="T913" s="79"/>
      <c r="U913" s="79"/>
    </row>
    <row r="914" spans="20:21">
      <c r="T914" s="79"/>
      <c r="U914" s="79"/>
    </row>
    <row r="915" spans="20:21">
      <c r="T915" s="79"/>
      <c r="U915" s="79"/>
    </row>
    <row r="916" spans="20:21">
      <c r="T916" s="79"/>
      <c r="U916" s="79"/>
    </row>
    <row r="917" spans="20:21">
      <c r="T917" s="79"/>
      <c r="U917" s="79"/>
    </row>
    <row r="918" spans="20:21">
      <c r="T918" s="79"/>
      <c r="U918" s="79"/>
    </row>
    <row r="919" spans="20:21">
      <c r="T919" s="79"/>
      <c r="U919" s="79"/>
    </row>
    <row r="920" spans="20:21">
      <c r="T920" s="79"/>
      <c r="U920" s="79"/>
    </row>
    <row r="921" spans="20:21">
      <c r="T921" s="79"/>
      <c r="U921" s="79"/>
    </row>
    <row r="922" spans="20:21">
      <c r="T922" s="79"/>
      <c r="U922" s="79"/>
    </row>
    <row r="923" spans="20:21">
      <c r="T923" s="79"/>
      <c r="U923" s="79"/>
    </row>
    <row r="924" spans="20:21">
      <c r="T924" s="79"/>
      <c r="U924" s="79"/>
    </row>
    <row r="925" spans="20:21">
      <c r="T925" s="79"/>
      <c r="U925" s="79"/>
    </row>
    <row r="926" spans="20:21">
      <c r="T926" s="79"/>
      <c r="U926" s="79"/>
    </row>
    <row r="927" spans="20:21">
      <c r="T927" s="79"/>
      <c r="U927" s="79"/>
    </row>
    <row r="928" spans="20:21">
      <c r="T928" s="79"/>
      <c r="U928" s="79"/>
    </row>
    <row r="929" spans="20:21">
      <c r="T929" s="79"/>
      <c r="U929" s="79"/>
    </row>
    <row r="930" spans="20:21">
      <c r="T930" s="79"/>
      <c r="U930" s="79"/>
    </row>
    <row r="931" spans="20:21">
      <c r="T931" s="79"/>
      <c r="U931" s="79"/>
    </row>
    <row r="932" spans="20:21">
      <c r="T932" s="79"/>
      <c r="U932" s="79"/>
    </row>
    <row r="933" spans="20:21">
      <c r="T933" s="79"/>
      <c r="U933" s="79"/>
    </row>
    <row r="934" spans="20:21">
      <c r="T934" s="79"/>
      <c r="U934" s="79"/>
    </row>
    <row r="935" spans="20:21">
      <c r="T935" s="79"/>
      <c r="U935" s="79"/>
    </row>
    <row r="936" spans="20:21">
      <c r="T936" s="79"/>
      <c r="U936" s="79"/>
    </row>
    <row r="937" spans="20:21">
      <c r="T937" s="79"/>
      <c r="U937" s="79"/>
    </row>
    <row r="938" spans="20:21">
      <c r="T938" s="79"/>
      <c r="U938" s="79"/>
    </row>
    <row r="939" spans="20:21">
      <c r="T939" s="79"/>
      <c r="U939" s="79"/>
    </row>
    <row r="940" spans="20:21">
      <c r="T940" s="79"/>
      <c r="U940" s="79"/>
    </row>
    <row r="941" spans="20:21">
      <c r="T941" s="79"/>
      <c r="U941" s="79"/>
    </row>
    <row r="942" spans="20:21">
      <c r="T942" s="79"/>
      <c r="U942" s="79"/>
    </row>
    <row r="943" spans="20:21">
      <c r="T943" s="79"/>
      <c r="U943" s="79"/>
    </row>
    <row r="944" spans="20:21">
      <c r="T944" s="79"/>
      <c r="U944" s="79"/>
    </row>
    <row r="945" spans="20:48">
      <c r="T945" s="79"/>
      <c r="U945" s="79"/>
    </row>
    <row r="946" spans="20:48">
      <c r="T946" s="79"/>
      <c r="U946" s="79"/>
      <c r="AT946" t="s">
        <v>159</v>
      </c>
      <c r="AU946" s="93">
        <v>929</v>
      </c>
      <c r="AV946" t="s">
        <v>134</v>
      </c>
    </row>
    <row r="947" spans="20:48">
      <c r="T947" s="79"/>
      <c r="U947" s="79"/>
      <c r="AT947" t="s">
        <v>160</v>
      </c>
      <c r="AU947" s="93">
        <v>930</v>
      </c>
      <c r="AV947" t="s">
        <v>111</v>
      </c>
    </row>
    <row r="948" spans="20:48">
      <c r="T948" s="79"/>
      <c r="U948" s="79"/>
      <c r="AT948" t="s">
        <v>161</v>
      </c>
      <c r="AU948" s="93">
        <v>931</v>
      </c>
      <c r="AV948" t="s">
        <v>115</v>
      </c>
    </row>
    <row r="949" spans="20:48">
      <c r="T949" s="79"/>
      <c r="U949" s="79"/>
      <c r="AT949" t="s">
        <v>162</v>
      </c>
      <c r="AU949" s="93">
        <v>932</v>
      </c>
      <c r="AV949" t="s">
        <v>111</v>
      </c>
    </row>
    <row r="950" spans="20:48">
      <c r="T950" s="79"/>
      <c r="U950" s="79"/>
      <c r="AT950" t="s">
        <v>163</v>
      </c>
      <c r="AU950" s="93">
        <v>933</v>
      </c>
      <c r="AV950" t="s">
        <v>117</v>
      </c>
    </row>
    <row r="951" spans="20:48">
      <c r="T951" s="79"/>
      <c r="U951" s="79"/>
      <c r="AT951" t="s">
        <v>164</v>
      </c>
      <c r="AU951" s="93">
        <v>934</v>
      </c>
      <c r="AV951" t="s">
        <v>111</v>
      </c>
    </row>
    <row r="952" spans="20:48">
      <c r="T952" s="79"/>
      <c r="U952" s="79"/>
      <c r="AT952" t="s">
        <v>165</v>
      </c>
      <c r="AU952" s="93">
        <v>935</v>
      </c>
      <c r="AV952" t="s">
        <v>140</v>
      </c>
    </row>
    <row r="953" spans="20:48">
      <c r="T953" s="79"/>
      <c r="U953" s="79"/>
      <c r="AT953" t="s">
        <v>166</v>
      </c>
      <c r="AU953" s="93">
        <v>936</v>
      </c>
      <c r="AV953" t="s">
        <v>111</v>
      </c>
    </row>
    <row r="954" spans="20:48">
      <c r="T954" s="79"/>
      <c r="U954" s="79"/>
      <c r="AT954" t="s">
        <v>167</v>
      </c>
      <c r="AU954" s="93">
        <v>937</v>
      </c>
      <c r="AV954" t="s">
        <v>145</v>
      </c>
    </row>
    <row r="955" spans="20:48">
      <c r="T955" s="79"/>
      <c r="U955" s="79"/>
      <c r="AT955" t="s">
        <v>168</v>
      </c>
      <c r="AU955" s="93">
        <v>938</v>
      </c>
      <c r="AV955" t="s">
        <v>145</v>
      </c>
    </row>
    <row r="956" spans="20:48">
      <c r="T956" s="79"/>
      <c r="U956" s="79"/>
      <c r="AT956" t="s">
        <v>169</v>
      </c>
      <c r="AU956" s="93">
        <v>939</v>
      </c>
      <c r="AV956" t="s">
        <v>111</v>
      </c>
    </row>
    <row r="957" spans="20:48">
      <c r="T957" s="79"/>
      <c r="U957" s="79"/>
      <c r="AT957" t="s">
        <v>170</v>
      </c>
      <c r="AU957" s="93">
        <v>940</v>
      </c>
      <c r="AV957" t="s">
        <v>117</v>
      </c>
    </row>
    <row r="958" spans="20:48">
      <c r="T958" s="79"/>
      <c r="U958" s="79"/>
      <c r="AT958" t="s">
        <v>171</v>
      </c>
      <c r="AU958" s="93">
        <v>941</v>
      </c>
      <c r="AV958" t="s">
        <v>141</v>
      </c>
    </row>
    <row r="959" spans="20:48">
      <c r="T959" s="79"/>
      <c r="U959" s="79"/>
      <c r="AT959" t="s">
        <v>172</v>
      </c>
      <c r="AU959" s="93">
        <v>942</v>
      </c>
      <c r="AV959" t="s">
        <v>111</v>
      </c>
    </row>
    <row r="960" spans="20:48">
      <c r="T960" s="79"/>
      <c r="U960" s="79"/>
      <c r="AT960" t="s">
        <v>173</v>
      </c>
      <c r="AU960" s="93">
        <v>943</v>
      </c>
      <c r="AV960" t="s">
        <v>114</v>
      </c>
    </row>
    <row r="961" spans="20:48">
      <c r="T961" s="79"/>
      <c r="U961" s="79"/>
      <c r="AT961" t="s">
        <v>174</v>
      </c>
      <c r="AU961" s="93">
        <v>944</v>
      </c>
      <c r="AV961" t="s">
        <v>142</v>
      </c>
    </row>
    <row r="962" spans="20:48">
      <c r="T962" s="79"/>
      <c r="U962" s="79"/>
      <c r="AT962" t="s">
        <v>175</v>
      </c>
      <c r="AU962" s="93">
        <v>945</v>
      </c>
      <c r="AV962" t="s">
        <v>144</v>
      </c>
    </row>
    <row r="963" spans="20:48">
      <c r="T963" s="79"/>
      <c r="U963" s="79"/>
      <c r="AT963" t="s">
        <v>176</v>
      </c>
      <c r="AU963" s="93">
        <v>946</v>
      </c>
      <c r="AV963" t="s">
        <v>120</v>
      </c>
    </row>
    <row r="964" spans="20:48">
      <c r="T964" s="79"/>
      <c r="U964" s="79"/>
      <c r="AT964" t="s">
        <v>177</v>
      </c>
      <c r="AU964" s="93">
        <v>947</v>
      </c>
      <c r="AV964" t="s">
        <v>139</v>
      </c>
    </row>
    <row r="965" spans="20:48">
      <c r="T965" s="79"/>
      <c r="U965" s="79"/>
      <c r="AT965" t="s">
        <v>178</v>
      </c>
      <c r="AU965" s="93">
        <v>948</v>
      </c>
      <c r="AV965" t="s">
        <v>111</v>
      </c>
    </row>
    <row r="966" spans="20:48">
      <c r="T966" s="79"/>
      <c r="U966" s="79"/>
      <c r="AT966" t="s">
        <v>179</v>
      </c>
      <c r="AU966" s="93">
        <v>949</v>
      </c>
      <c r="AV966" t="s">
        <v>111</v>
      </c>
    </row>
    <row r="967" spans="20:48">
      <c r="T967" s="79"/>
      <c r="U967" s="79"/>
      <c r="AT967" t="s">
        <v>180</v>
      </c>
      <c r="AU967" s="93">
        <v>950</v>
      </c>
      <c r="AV967" t="s">
        <v>120</v>
      </c>
    </row>
    <row r="968" spans="20:48">
      <c r="T968" s="79"/>
      <c r="U968" s="79"/>
      <c r="AT968" t="s">
        <v>181</v>
      </c>
      <c r="AU968" s="93">
        <v>951</v>
      </c>
      <c r="AV968" t="s">
        <v>136</v>
      </c>
    </row>
    <row r="969" spans="20:48">
      <c r="T969" s="79"/>
      <c r="U969" s="79"/>
      <c r="AT969" t="s">
        <v>182</v>
      </c>
      <c r="AU969" s="93">
        <v>952</v>
      </c>
      <c r="AV969" t="s">
        <v>115</v>
      </c>
    </row>
    <row r="970" spans="20:48">
      <c r="T970" s="79"/>
      <c r="U970" s="79"/>
      <c r="AT970" t="s">
        <v>183</v>
      </c>
      <c r="AU970" s="93">
        <v>953</v>
      </c>
      <c r="AV970" t="s">
        <v>184</v>
      </c>
    </row>
    <row r="971" spans="20:48">
      <c r="T971" s="79"/>
      <c r="U971" s="79"/>
      <c r="AT971" t="s">
        <v>185</v>
      </c>
      <c r="AU971" s="93">
        <v>954</v>
      </c>
      <c r="AV971" t="s">
        <v>120</v>
      </c>
    </row>
    <row r="972" spans="20:48">
      <c r="T972" s="79"/>
      <c r="U972" s="79"/>
      <c r="AT972" t="s">
        <v>186</v>
      </c>
      <c r="AU972" s="93">
        <v>955</v>
      </c>
      <c r="AV972" t="s">
        <v>115</v>
      </c>
    </row>
    <row r="973" spans="20:48">
      <c r="T973" s="79"/>
      <c r="U973" s="79"/>
      <c r="AT973" t="s">
        <v>187</v>
      </c>
      <c r="AU973" s="93">
        <v>956</v>
      </c>
      <c r="AV973" t="s">
        <v>123</v>
      </c>
    </row>
    <row r="974" spans="20:48">
      <c r="T974" s="79"/>
      <c r="U974" s="79"/>
      <c r="AT974" t="s">
        <v>188</v>
      </c>
      <c r="AU974" s="93">
        <v>957</v>
      </c>
      <c r="AV974" t="s">
        <v>120</v>
      </c>
    </row>
    <row r="975" spans="20:48">
      <c r="T975" s="79"/>
      <c r="U975" s="79"/>
      <c r="AT975" t="s">
        <v>189</v>
      </c>
      <c r="AU975" s="93">
        <v>958</v>
      </c>
      <c r="AV975" t="s">
        <v>123</v>
      </c>
    </row>
    <row r="976" spans="20:48">
      <c r="T976" s="79"/>
      <c r="U976" s="79"/>
      <c r="AT976" t="s">
        <v>190</v>
      </c>
      <c r="AU976" s="93">
        <v>959</v>
      </c>
      <c r="AV976" t="s">
        <v>138</v>
      </c>
    </row>
    <row r="977" spans="20:48">
      <c r="T977" s="79"/>
      <c r="U977" s="79"/>
      <c r="AT977" t="s">
        <v>191</v>
      </c>
      <c r="AU977" s="93">
        <v>960</v>
      </c>
      <c r="AV977" t="s">
        <v>111</v>
      </c>
    </row>
    <row r="978" spans="20:48">
      <c r="T978" s="79"/>
      <c r="U978" s="79"/>
      <c r="AT978" t="s">
        <v>192</v>
      </c>
      <c r="AU978" s="93">
        <v>961</v>
      </c>
      <c r="AV978" t="s">
        <v>132</v>
      </c>
    </row>
    <row r="979" spans="20:48">
      <c r="T979" s="79"/>
      <c r="U979" s="79"/>
      <c r="AT979" t="s">
        <v>193</v>
      </c>
      <c r="AU979" s="93">
        <v>962</v>
      </c>
      <c r="AV979" t="s">
        <v>144</v>
      </c>
    </row>
    <row r="980" spans="20:48">
      <c r="T980" s="79"/>
      <c r="U980" s="79"/>
      <c r="AT980" t="s">
        <v>194</v>
      </c>
      <c r="AU980" s="93">
        <v>963</v>
      </c>
      <c r="AV980" t="s">
        <v>153</v>
      </c>
    </row>
    <row r="981" spans="20:48">
      <c r="T981" s="79"/>
      <c r="U981" s="79"/>
      <c r="AT981" t="s">
        <v>195</v>
      </c>
      <c r="AU981" s="93">
        <v>964</v>
      </c>
      <c r="AV981" t="s">
        <v>111</v>
      </c>
    </row>
    <row r="982" spans="20:48">
      <c r="T982" s="79"/>
      <c r="U982" s="79"/>
      <c r="AT982" t="s">
        <v>196</v>
      </c>
      <c r="AU982" s="93">
        <v>965</v>
      </c>
      <c r="AV982" t="s">
        <v>115</v>
      </c>
    </row>
    <row r="983" spans="20:48">
      <c r="T983" s="79"/>
      <c r="U983" s="79"/>
      <c r="AT983" t="s">
        <v>197</v>
      </c>
      <c r="AU983" s="93">
        <v>966</v>
      </c>
      <c r="AV983" t="s">
        <v>136</v>
      </c>
    </row>
    <row r="984" spans="20:48">
      <c r="T984" s="79"/>
      <c r="U984" s="79"/>
      <c r="AT984" t="s">
        <v>198</v>
      </c>
      <c r="AU984" s="93">
        <v>967</v>
      </c>
      <c r="AV984" t="s">
        <v>139</v>
      </c>
    </row>
    <row r="985" spans="20:48">
      <c r="T985" s="79"/>
      <c r="U985" s="79"/>
      <c r="AT985" t="s">
        <v>199</v>
      </c>
      <c r="AU985" s="93">
        <v>968</v>
      </c>
      <c r="AV985" t="s">
        <v>136</v>
      </c>
    </row>
    <row r="986" spans="20:48">
      <c r="T986" s="79"/>
      <c r="U986" s="79"/>
      <c r="AT986" t="s">
        <v>200</v>
      </c>
      <c r="AU986" s="93">
        <v>969</v>
      </c>
      <c r="AV986" t="s">
        <v>114</v>
      </c>
    </row>
    <row r="987" spans="20:48">
      <c r="T987" s="79"/>
      <c r="U987" s="79"/>
      <c r="AT987" t="s">
        <v>201</v>
      </c>
      <c r="AU987" s="93">
        <v>970</v>
      </c>
      <c r="AV987" t="s">
        <v>150</v>
      </c>
    </row>
    <row r="988" spans="20:48">
      <c r="T988" s="79"/>
      <c r="U988" s="79"/>
      <c r="AT988" t="s">
        <v>202</v>
      </c>
      <c r="AU988" s="93">
        <v>971</v>
      </c>
      <c r="AV988" t="s">
        <v>120</v>
      </c>
    </row>
    <row r="989" spans="20:48">
      <c r="T989" s="79"/>
      <c r="U989" s="79"/>
      <c r="AT989" t="s">
        <v>203</v>
      </c>
      <c r="AU989" s="93">
        <v>972</v>
      </c>
      <c r="AV989" t="s">
        <v>117</v>
      </c>
    </row>
    <row r="990" spans="20:48">
      <c r="T990" s="79"/>
      <c r="U990" s="79"/>
      <c r="AT990" t="s">
        <v>204</v>
      </c>
      <c r="AU990" s="93">
        <v>973</v>
      </c>
      <c r="AV990" t="s">
        <v>120</v>
      </c>
    </row>
    <row r="991" spans="20:48">
      <c r="T991" s="79"/>
      <c r="U991" s="79"/>
      <c r="AT991" t="s">
        <v>205</v>
      </c>
      <c r="AU991" s="93">
        <v>974</v>
      </c>
      <c r="AV991" t="s">
        <v>115</v>
      </c>
    </row>
    <row r="992" spans="20:48">
      <c r="T992" s="79"/>
      <c r="U992" s="79"/>
      <c r="AT992" t="s">
        <v>206</v>
      </c>
      <c r="AU992" s="93">
        <v>975</v>
      </c>
      <c r="AV992" t="s">
        <v>123</v>
      </c>
    </row>
    <row r="993" spans="20:48">
      <c r="T993" s="79"/>
      <c r="U993" s="79"/>
      <c r="AT993" t="s">
        <v>207</v>
      </c>
      <c r="AU993" s="93">
        <v>976</v>
      </c>
      <c r="AV993" t="s">
        <v>145</v>
      </c>
    </row>
    <row r="994" spans="20:48">
      <c r="T994" s="79"/>
      <c r="U994" s="79"/>
      <c r="AT994" t="s">
        <v>208</v>
      </c>
      <c r="AU994" s="93">
        <v>977</v>
      </c>
      <c r="AV994" t="s">
        <v>133</v>
      </c>
    </row>
    <row r="995" spans="20:48">
      <c r="T995" s="79"/>
      <c r="U995" s="79"/>
      <c r="AT995" t="s">
        <v>209</v>
      </c>
      <c r="AU995" s="93">
        <v>978</v>
      </c>
      <c r="AV995" t="s">
        <v>120</v>
      </c>
    </row>
    <row r="996" spans="20:48">
      <c r="T996" s="79"/>
      <c r="U996" s="79"/>
      <c r="AT996" t="s">
        <v>210</v>
      </c>
      <c r="AU996" s="93">
        <v>979</v>
      </c>
      <c r="AV996" t="s">
        <v>150</v>
      </c>
    </row>
    <row r="997" spans="20:48">
      <c r="T997" s="79"/>
      <c r="U997" s="79"/>
      <c r="AT997" t="s">
        <v>211</v>
      </c>
      <c r="AU997" s="93">
        <v>980</v>
      </c>
      <c r="AV997" t="s">
        <v>120</v>
      </c>
    </row>
    <row r="998" spans="20:48">
      <c r="T998" s="79"/>
      <c r="U998" s="79"/>
      <c r="AT998" t="s">
        <v>212</v>
      </c>
      <c r="AU998" s="93">
        <v>981</v>
      </c>
      <c r="AV998" t="s">
        <v>132</v>
      </c>
    </row>
    <row r="999" spans="20:48">
      <c r="T999" s="79"/>
      <c r="U999" s="79"/>
      <c r="AT999" t="s">
        <v>213</v>
      </c>
      <c r="AU999" s="93">
        <v>982</v>
      </c>
      <c r="AV999" t="s">
        <v>134</v>
      </c>
    </row>
    <row r="1000" spans="20:48">
      <c r="T1000" s="79"/>
      <c r="U1000" s="79"/>
      <c r="AT1000" t="s">
        <v>214</v>
      </c>
      <c r="AU1000" s="93">
        <v>983</v>
      </c>
      <c r="AV1000" t="s">
        <v>114</v>
      </c>
    </row>
    <row r="1001" spans="20:48">
      <c r="T1001" s="79"/>
      <c r="U1001" s="79"/>
      <c r="AT1001" t="s">
        <v>215</v>
      </c>
      <c r="AU1001" s="93">
        <v>984</v>
      </c>
      <c r="AV1001" t="s">
        <v>113</v>
      </c>
    </row>
    <row r="1002" spans="20:48">
      <c r="T1002" s="79"/>
      <c r="U1002" s="79"/>
      <c r="AT1002" t="s">
        <v>216</v>
      </c>
      <c r="AU1002" s="93">
        <v>985</v>
      </c>
      <c r="AV1002" t="s">
        <v>111</v>
      </c>
    </row>
    <row r="1003" spans="20:48">
      <c r="T1003" s="79"/>
      <c r="U1003" s="79"/>
      <c r="AT1003" t="s">
        <v>217</v>
      </c>
      <c r="AU1003" s="93">
        <v>986</v>
      </c>
      <c r="AV1003" t="s">
        <v>111</v>
      </c>
    </row>
    <row r="1004" spans="20:48">
      <c r="T1004" s="79"/>
      <c r="U1004" s="79"/>
      <c r="AT1004" t="s">
        <v>218</v>
      </c>
      <c r="AU1004" s="93">
        <v>987</v>
      </c>
      <c r="AV1004" t="s">
        <v>132</v>
      </c>
    </row>
    <row r="1005" spans="20:48">
      <c r="T1005" s="79"/>
      <c r="U1005" s="79"/>
      <c r="AT1005" t="s">
        <v>219</v>
      </c>
      <c r="AU1005" s="93">
        <v>988</v>
      </c>
      <c r="AV1005" t="s">
        <v>220</v>
      </c>
    </row>
    <row r="1006" spans="20:48">
      <c r="T1006" s="79"/>
      <c r="U1006" s="79"/>
      <c r="AT1006" t="s">
        <v>221</v>
      </c>
      <c r="AU1006" s="93">
        <v>989</v>
      </c>
      <c r="AV1006" t="s">
        <v>127</v>
      </c>
    </row>
    <row r="1007" spans="20:48">
      <c r="T1007" s="79"/>
      <c r="U1007" s="79"/>
      <c r="AT1007" t="s">
        <v>222</v>
      </c>
      <c r="AU1007" s="93">
        <v>990</v>
      </c>
      <c r="AV1007" t="s">
        <v>129</v>
      </c>
    </row>
    <row r="1008" spans="20:48">
      <c r="T1008" s="79"/>
      <c r="U1008" s="79"/>
      <c r="AT1008" t="s">
        <v>223</v>
      </c>
      <c r="AU1008" s="93">
        <v>991</v>
      </c>
      <c r="AV1008" t="s">
        <v>115</v>
      </c>
    </row>
    <row r="1009" spans="20:48">
      <c r="T1009" s="79"/>
      <c r="U1009" s="79"/>
      <c r="AT1009" t="s">
        <v>224</v>
      </c>
      <c r="AU1009" s="93">
        <v>992</v>
      </c>
      <c r="AV1009" t="s">
        <v>153</v>
      </c>
    </row>
    <row r="1010" spans="20:48">
      <c r="T1010" s="79"/>
      <c r="U1010" s="79"/>
      <c r="AT1010" t="s">
        <v>225</v>
      </c>
      <c r="AU1010" s="93">
        <v>993</v>
      </c>
      <c r="AV1010" t="s">
        <v>123</v>
      </c>
    </row>
    <row r="1011" spans="20:48">
      <c r="T1011" s="79"/>
      <c r="U1011" s="79"/>
      <c r="AT1011" t="s">
        <v>226</v>
      </c>
      <c r="AU1011" s="93">
        <v>994</v>
      </c>
      <c r="AV1011" t="s">
        <v>121</v>
      </c>
    </row>
    <row r="1012" spans="20:48">
      <c r="T1012" s="79"/>
      <c r="U1012" s="79"/>
      <c r="AT1012" t="s">
        <v>227</v>
      </c>
      <c r="AU1012" s="93">
        <v>995</v>
      </c>
      <c r="AV1012" t="s">
        <v>140</v>
      </c>
    </row>
    <row r="1013" spans="20:48">
      <c r="T1013" s="79"/>
      <c r="U1013" s="79"/>
      <c r="AT1013" t="s">
        <v>228</v>
      </c>
      <c r="AU1013" s="93">
        <v>996</v>
      </c>
      <c r="AV1013" t="s">
        <v>119</v>
      </c>
    </row>
    <row r="1014" spans="20:48">
      <c r="T1014" s="79"/>
      <c r="U1014" s="79"/>
      <c r="AT1014" t="s">
        <v>229</v>
      </c>
      <c r="AU1014" s="93">
        <v>997</v>
      </c>
      <c r="AV1014" t="s">
        <v>120</v>
      </c>
    </row>
    <row r="1015" spans="20:48">
      <c r="T1015" s="79"/>
      <c r="U1015" s="79"/>
      <c r="AT1015" t="s">
        <v>230</v>
      </c>
      <c r="AU1015" s="93">
        <v>998</v>
      </c>
      <c r="AV1015" t="s">
        <v>111</v>
      </c>
    </row>
    <row r="1016" spans="20:48">
      <c r="T1016" s="79"/>
      <c r="U1016" s="79"/>
      <c r="AT1016" t="s">
        <v>231</v>
      </c>
      <c r="AU1016" s="93">
        <v>999</v>
      </c>
      <c r="AV1016" t="s">
        <v>114</v>
      </c>
    </row>
    <row r="1017" spans="20:48">
      <c r="T1017" s="79"/>
      <c r="U1017" s="79"/>
      <c r="AT1017" t="s">
        <v>232</v>
      </c>
      <c r="AU1017" s="93">
        <v>1000</v>
      </c>
      <c r="AV1017" t="s">
        <v>132</v>
      </c>
    </row>
    <row r="1018" spans="20:48">
      <c r="T1018" s="79"/>
      <c r="U1018" s="79"/>
      <c r="AT1018" t="s">
        <v>233</v>
      </c>
      <c r="AU1018" s="93">
        <v>1001</v>
      </c>
      <c r="AV1018" t="s">
        <v>121</v>
      </c>
    </row>
    <row r="1019" spans="20:48">
      <c r="T1019" s="79"/>
      <c r="U1019" s="79"/>
      <c r="AT1019" t="s">
        <v>234</v>
      </c>
      <c r="AU1019" s="93">
        <v>1002</v>
      </c>
      <c r="AV1019" t="s">
        <v>132</v>
      </c>
    </row>
    <row r="1020" spans="20:48">
      <c r="T1020" s="79"/>
      <c r="U1020" s="79"/>
      <c r="AT1020" t="s">
        <v>235</v>
      </c>
      <c r="AU1020" s="93">
        <v>1003</v>
      </c>
      <c r="AV1020" t="s">
        <v>123</v>
      </c>
    </row>
    <row r="1021" spans="20:48">
      <c r="T1021" s="79"/>
      <c r="U1021" s="79"/>
      <c r="AT1021" t="s">
        <v>236</v>
      </c>
      <c r="AU1021" s="93">
        <v>1004</v>
      </c>
      <c r="AV1021" t="s">
        <v>134</v>
      </c>
    </row>
    <row r="1022" spans="20:48">
      <c r="T1022" s="79"/>
      <c r="U1022" s="79"/>
      <c r="AT1022" t="s">
        <v>237</v>
      </c>
      <c r="AU1022" s="93">
        <v>1005</v>
      </c>
      <c r="AV1022" t="s">
        <v>111</v>
      </c>
    </row>
    <row r="1023" spans="20:48">
      <c r="T1023" s="79"/>
      <c r="U1023" s="79"/>
      <c r="AT1023" t="s">
        <v>238</v>
      </c>
      <c r="AU1023" s="93">
        <v>1006</v>
      </c>
      <c r="AV1023" t="s">
        <v>114</v>
      </c>
    </row>
    <row r="1024" spans="20:48">
      <c r="T1024" s="79"/>
      <c r="U1024" s="79"/>
      <c r="AT1024" t="s">
        <v>239</v>
      </c>
      <c r="AU1024" s="93">
        <v>1007</v>
      </c>
      <c r="AV1024" t="s">
        <v>111</v>
      </c>
    </row>
    <row r="1025" spans="20:48">
      <c r="T1025" s="79"/>
      <c r="U1025" s="79"/>
      <c r="AT1025" t="s">
        <v>240</v>
      </c>
      <c r="AU1025" s="93">
        <v>1008</v>
      </c>
      <c r="AV1025" t="s">
        <v>115</v>
      </c>
    </row>
    <row r="1026" spans="20:48">
      <c r="T1026" s="79"/>
      <c r="U1026" s="79"/>
      <c r="AT1026" t="s">
        <v>241</v>
      </c>
      <c r="AU1026" s="93">
        <v>1009</v>
      </c>
      <c r="AV1026" t="s">
        <v>114</v>
      </c>
    </row>
    <row r="1027" spans="20:48">
      <c r="T1027" s="79"/>
      <c r="U1027" s="79"/>
      <c r="AT1027" t="s">
        <v>242</v>
      </c>
      <c r="AU1027" s="93">
        <v>1010</v>
      </c>
      <c r="AV1027" t="s">
        <v>115</v>
      </c>
    </row>
    <row r="1028" spans="20:48">
      <c r="T1028" s="79"/>
      <c r="U1028" s="79"/>
      <c r="AT1028" t="s">
        <v>243</v>
      </c>
      <c r="AU1028" s="93">
        <v>1011</v>
      </c>
      <c r="AV1028" t="s">
        <v>115</v>
      </c>
    </row>
    <row r="1029" spans="20:48">
      <c r="T1029" s="79"/>
      <c r="U1029" s="79"/>
      <c r="AT1029" t="s">
        <v>244</v>
      </c>
      <c r="AU1029" s="93">
        <v>1012</v>
      </c>
      <c r="AV1029" t="s">
        <v>129</v>
      </c>
    </row>
    <row r="1030" spans="20:48">
      <c r="T1030" s="79"/>
      <c r="U1030" s="79"/>
      <c r="AT1030" t="s">
        <v>245</v>
      </c>
      <c r="AU1030" s="93">
        <v>1013</v>
      </c>
      <c r="AV1030" t="s">
        <v>120</v>
      </c>
    </row>
    <row r="1031" spans="20:48">
      <c r="T1031" s="79"/>
      <c r="U1031" s="79"/>
      <c r="AT1031" t="s">
        <v>246</v>
      </c>
      <c r="AU1031" s="93">
        <v>1014</v>
      </c>
      <c r="AV1031" t="s">
        <v>120</v>
      </c>
    </row>
    <row r="1032" spans="20:48">
      <c r="T1032" s="79"/>
      <c r="U1032" s="79"/>
      <c r="AT1032" t="s">
        <v>247</v>
      </c>
      <c r="AU1032" s="93">
        <v>1015</v>
      </c>
      <c r="AV1032" t="s">
        <v>117</v>
      </c>
    </row>
    <row r="1033" spans="20:48">
      <c r="T1033" s="79"/>
      <c r="U1033" s="79"/>
      <c r="AT1033" t="s">
        <v>248</v>
      </c>
      <c r="AU1033" s="93">
        <v>1016</v>
      </c>
      <c r="AV1033" t="s">
        <v>136</v>
      </c>
    </row>
    <row r="1034" spans="20:48">
      <c r="T1034" s="79"/>
      <c r="U1034" s="79"/>
      <c r="AT1034" t="s">
        <v>249</v>
      </c>
      <c r="AU1034" s="93">
        <v>1017</v>
      </c>
      <c r="AV1034" t="s">
        <v>111</v>
      </c>
    </row>
    <row r="1035" spans="20:48">
      <c r="T1035" s="79"/>
      <c r="U1035" s="79"/>
      <c r="AT1035" t="s">
        <v>250</v>
      </c>
      <c r="AU1035" s="93">
        <v>1018</v>
      </c>
      <c r="AV1035" t="s">
        <v>117</v>
      </c>
    </row>
    <row r="1036" spans="20:48">
      <c r="T1036" s="79"/>
      <c r="U1036" s="79"/>
      <c r="AT1036" t="s">
        <v>251</v>
      </c>
      <c r="AU1036" s="93">
        <v>1019</v>
      </c>
      <c r="AV1036" t="s">
        <v>129</v>
      </c>
    </row>
    <row r="1037" spans="20:48">
      <c r="T1037" s="79"/>
      <c r="U1037" s="79"/>
      <c r="AT1037" t="s">
        <v>252</v>
      </c>
      <c r="AU1037" s="93">
        <v>1020</v>
      </c>
      <c r="AV1037" t="s">
        <v>152</v>
      </c>
    </row>
    <row r="1038" spans="20:48">
      <c r="T1038" s="79"/>
      <c r="U1038" s="79"/>
      <c r="AT1038" t="s">
        <v>253</v>
      </c>
      <c r="AU1038" s="93">
        <v>1021</v>
      </c>
      <c r="AV1038" t="s">
        <v>129</v>
      </c>
    </row>
    <row r="1039" spans="20:48">
      <c r="T1039" s="79"/>
      <c r="U1039" s="79"/>
      <c r="AT1039" t="s">
        <v>254</v>
      </c>
      <c r="AU1039" s="93">
        <v>1022</v>
      </c>
      <c r="AV1039" t="s">
        <v>115</v>
      </c>
    </row>
    <row r="1040" spans="20:48">
      <c r="T1040" s="79"/>
      <c r="U1040" s="79"/>
      <c r="AT1040" t="s">
        <v>255</v>
      </c>
      <c r="AU1040" s="93">
        <v>1023</v>
      </c>
      <c r="AV1040" t="s">
        <v>114</v>
      </c>
    </row>
    <row r="1041" spans="20:48">
      <c r="T1041" s="79"/>
      <c r="U1041" s="79"/>
      <c r="AT1041" t="s">
        <v>256</v>
      </c>
      <c r="AU1041" s="93">
        <v>1024</v>
      </c>
      <c r="AV1041" t="s">
        <v>111</v>
      </c>
    </row>
    <row r="1042" spans="20:48">
      <c r="T1042" s="79"/>
      <c r="U1042" s="79"/>
      <c r="AT1042" t="s">
        <v>257</v>
      </c>
      <c r="AU1042" s="93">
        <v>1025</v>
      </c>
      <c r="AV1042" t="s">
        <v>117</v>
      </c>
    </row>
    <row r="1043" spans="20:48">
      <c r="T1043" s="79"/>
      <c r="U1043" s="79"/>
      <c r="AT1043" t="s">
        <v>258</v>
      </c>
      <c r="AU1043" s="93">
        <v>1026</v>
      </c>
      <c r="AV1043" t="s">
        <v>111</v>
      </c>
    </row>
    <row r="1044" spans="20:48">
      <c r="T1044" s="79"/>
      <c r="U1044" s="79"/>
      <c r="AT1044" t="s">
        <v>259</v>
      </c>
      <c r="AU1044" s="93">
        <v>1027</v>
      </c>
      <c r="AV1044" t="s">
        <v>111</v>
      </c>
    </row>
    <row r="1045" spans="20:48">
      <c r="T1045" s="79"/>
      <c r="U1045" s="79"/>
      <c r="AT1045" t="s">
        <v>260</v>
      </c>
      <c r="AU1045" s="93">
        <v>1028</v>
      </c>
      <c r="AV1045" t="s">
        <v>114</v>
      </c>
    </row>
    <row r="1046" spans="20:48">
      <c r="T1046" s="79"/>
      <c r="U1046" s="79"/>
      <c r="AT1046" t="s">
        <v>261</v>
      </c>
      <c r="AU1046" s="93">
        <v>1029</v>
      </c>
      <c r="AV1046" t="s">
        <v>111</v>
      </c>
    </row>
    <row r="1047" spans="20:48">
      <c r="T1047" s="79"/>
      <c r="U1047" s="79"/>
      <c r="AT1047" t="s">
        <v>262</v>
      </c>
      <c r="AU1047" s="93">
        <v>1030</v>
      </c>
      <c r="AV1047" t="s">
        <v>150</v>
      </c>
    </row>
    <row r="1048" spans="20:48">
      <c r="T1048" s="79"/>
      <c r="U1048" s="79"/>
      <c r="AT1048" t="s">
        <v>263</v>
      </c>
      <c r="AU1048" s="93">
        <v>1031</v>
      </c>
      <c r="AV1048" t="s">
        <v>145</v>
      </c>
    </row>
    <row r="1049" spans="20:48">
      <c r="T1049" s="79"/>
      <c r="U1049" s="79"/>
      <c r="AT1049" t="s">
        <v>264</v>
      </c>
      <c r="AU1049" s="93">
        <v>1032</v>
      </c>
      <c r="AV1049" t="s">
        <v>131</v>
      </c>
    </row>
    <row r="1050" spans="20:48">
      <c r="T1050" s="79"/>
      <c r="U1050" s="79"/>
      <c r="AT1050" t="s">
        <v>265</v>
      </c>
      <c r="AU1050" s="93">
        <v>1033</v>
      </c>
      <c r="AV1050" t="s">
        <v>115</v>
      </c>
    </row>
    <row r="1051" spans="20:48">
      <c r="T1051" s="79"/>
      <c r="U1051" s="79"/>
      <c r="AT1051" t="s">
        <v>266</v>
      </c>
      <c r="AU1051" s="93">
        <v>1034</v>
      </c>
      <c r="AV1051" t="s">
        <v>150</v>
      </c>
    </row>
    <row r="1052" spans="20:48">
      <c r="T1052" s="79"/>
      <c r="U1052" s="79"/>
      <c r="AT1052" t="s">
        <v>267</v>
      </c>
      <c r="AU1052" s="93">
        <v>1035</v>
      </c>
      <c r="AV1052" t="s">
        <v>111</v>
      </c>
    </row>
    <row r="1053" spans="20:48">
      <c r="T1053" s="79"/>
      <c r="U1053" s="79"/>
      <c r="AT1053" t="s">
        <v>268</v>
      </c>
      <c r="AU1053" s="93">
        <v>1036</v>
      </c>
      <c r="AV1053" t="s">
        <v>153</v>
      </c>
    </row>
    <row r="1054" spans="20:48">
      <c r="T1054" s="79"/>
      <c r="U1054" s="79"/>
      <c r="AT1054" t="s">
        <v>269</v>
      </c>
      <c r="AU1054" s="93">
        <v>1037</v>
      </c>
      <c r="AV1054" t="s">
        <v>114</v>
      </c>
    </row>
    <row r="1055" spans="20:48">
      <c r="T1055" s="79"/>
      <c r="U1055" s="79"/>
      <c r="AT1055" t="s">
        <v>270</v>
      </c>
      <c r="AU1055" s="93">
        <v>1038</v>
      </c>
      <c r="AV1055" t="s">
        <v>136</v>
      </c>
    </row>
    <row r="1056" spans="20:48">
      <c r="T1056" s="79"/>
      <c r="U1056" s="79"/>
      <c r="AT1056" t="s">
        <v>271</v>
      </c>
      <c r="AU1056" s="93">
        <v>1039</v>
      </c>
      <c r="AV1056" t="s">
        <v>114</v>
      </c>
    </row>
    <row r="1057" spans="20:48">
      <c r="T1057" s="79"/>
      <c r="U1057" s="79"/>
      <c r="AT1057" t="s">
        <v>272</v>
      </c>
      <c r="AU1057" s="93">
        <v>1040</v>
      </c>
      <c r="AV1057" t="s">
        <v>140</v>
      </c>
    </row>
    <row r="1058" spans="20:48">
      <c r="T1058" s="79"/>
      <c r="U1058" s="79"/>
      <c r="AT1058" t="s">
        <v>273</v>
      </c>
      <c r="AU1058" s="93">
        <v>1041</v>
      </c>
      <c r="AV1058" t="s">
        <v>117</v>
      </c>
    </row>
    <row r="1059" spans="20:48">
      <c r="T1059" s="79"/>
      <c r="U1059" s="79"/>
      <c r="AT1059" t="s">
        <v>274</v>
      </c>
      <c r="AU1059" s="93">
        <v>1042</v>
      </c>
      <c r="AV1059" t="s">
        <v>115</v>
      </c>
    </row>
    <row r="1060" spans="20:48">
      <c r="T1060" s="79"/>
      <c r="U1060" s="79"/>
      <c r="AT1060" t="s">
        <v>275</v>
      </c>
      <c r="AU1060" s="93">
        <v>1043</v>
      </c>
      <c r="AV1060" t="s">
        <v>111</v>
      </c>
    </row>
    <row r="1061" spans="20:48">
      <c r="T1061" s="79"/>
      <c r="U1061" s="79"/>
      <c r="AT1061" t="s">
        <v>276</v>
      </c>
      <c r="AU1061" s="93">
        <v>1044</v>
      </c>
      <c r="AV1061" t="s">
        <v>111</v>
      </c>
    </row>
    <row r="1062" spans="20:48">
      <c r="T1062" s="79"/>
      <c r="U1062" s="79"/>
      <c r="AT1062" t="s">
        <v>277</v>
      </c>
      <c r="AU1062" s="93">
        <v>1045</v>
      </c>
      <c r="AV1062" t="s">
        <v>117</v>
      </c>
    </row>
    <row r="1063" spans="20:48">
      <c r="T1063" s="79"/>
      <c r="U1063" s="79"/>
      <c r="AT1063" t="s">
        <v>278</v>
      </c>
      <c r="AU1063" s="93">
        <v>1046</v>
      </c>
      <c r="AV1063" t="s">
        <v>123</v>
      </c>
    </row>
    <row r="1064" spans="20:48">
      <c r="T1064" s="79"/>
      <c r="U1064" s="79"/>
      <c r="AT1064" t="s">
        <v>279</v>
      </c>
      <c r="AU1064" s="93">
        <v>1047</v>
      </c>
      <c r="AV1064" t="s">
        <v>120</v>
      </c>
    </row>
    <row r="1065" spans="20:48">
      <c r="T1065" s="79"/>
      <c r="U1065" s="79"/>
      <c r="AT1065" t="s">
        <v>280</v>
      </c>
      <c r="AU1065" s="93">
        <v>1048</v>
      </c>
      <c r="AV1065" t="s">
        <v>115</v>
      </c>
    </row>
    <row r="1066" spans="20:48">
      <c r="T1066" s="79"/>
      <c r="U1066" s="79"/>
      <c r="AT1066" t="s">
        <v>281</v>
      </c>
      <c r="AU1066" s="93">
        <v>1049</v>
      </c>
      <c r="AV1066" t="s">
        <v>124</v>
      </c>
    </row>
    <row r="1067" spans="20:48">
      <c r="T1067" s="79"/>
      <c r="U1067" s="79"/>
      <c r="AT1067" t="s">
        <v>282</v>
      </c>
      <c r="AU1067" s="93">
        <v>1050</v>
      </c>
      <c r="AV1067" t="s">
        <v>132</v>
      </c>
    </row>
    <row r="1068" spans="20:48">
      <c r="T1068" s="79"/>
      <c r="U1068" s="79"/>
      <c r="AT1068" t="s">
        <v>283</v>
      </c>
      <c r="AU1068" s="93">
        <v>1051</v>
      </c>
      <c r="AV1068" t="s">
        <v>123</v>
      </c>
    </row>
    <row r="1069" spans="20:48">
      <c r="T1069" s="79"/>
      <c r="U1069" s="79"/>
      <c r="AT1069" t="s">
        <v>284</v>
      </c>
      <c r="AU1069" s="93">
        <v>1052</v>
      </c>
      <c r="AV1069" t="s">
        <v>123</v>
      </c>
    </row>
    <row r="1070" spans="20:48">
      <c r="T1070" s="79"/>
      <c r="U1070" s="79"/>
      <c r="AT1070" t="s">
        <v>285</v>
      </c>
      <c r="AU1070" s="93">
        <v>1053</v>
      </c>
      <c r="AV1070" t="s">
        <v>111</v>
      </c>
    </row>
    <row r="1071" spans="20:48">
      <c r="T1071" s="79"/>
      <c r="U1071" s="79"/>
      <c r="AT1071" t="s">
        <v>286</v>
      </c>
      <c r="AU1071" s="93">
        <v>1054</v>
      </c>
      <c r="AV1071" t="s">
        <v>111</v>
      </c>
    </row>
    <row r="1072" spans="20:48">
      <c r="T1072" s="79"/>
      <c r="U1072" s="79"/>
      <c r="AT1072" t="s">
        <v>287</v>
      </c>
      <c r="AU1072" s="93">
        <v>1055</v>
      </c>
      <c r="AV1072" t="s">
        <v>114</v>
      </c>
    </row>
    <row r="1073" spans="20:48">
      <c r="T1073" s="79"/>
      <c r="U1073" s="79"/>
      <c r="AT1073" t="s">
        <v>288</v>
      </c>
      <c r="AU1073" s="93">
        <v>1056</v>
      </c>
      <c r="AV1073" t="s">
        <v>132</v>
      </c>
    </row>
    <row r="1074" spans="20:48">
      <c r="T1074" s="79"/>
      <c r="U1074" s="79"/>
      <c r="AT1074" t="s">
        <v>289</v>
      </c>
      <c r="AU1074" s="93">
        <v>1057</v>
      </c>
      <c r="AV1074" t="s">
        <v>136</v>
      </c>
    </row>
    <row r="1075" spans="20:48">
      <c r="T1075" s="79"/>
      <c r="U1075" s="79"/>
      <c r="AT1075" t="s">
        <v>290</v>
      </c>
      <c r="AU1075" s="93">
        <v>1058</v>
      </c>
      <c r="AV1075" t="s">
        <v>111</v>
      </c>
    </row>
    <row r="1076" spans="20:48">
      <c r="T1076" s="79"/>
      <c r="U1076" s="79"/>
      <c r="AT1076" t="s">
        <v>291</v>
      </c>
      <c r="AU1076" s="93">
        <v>1059</v>
      </c>
      <c r="AV1076" t="s">
        <v>153</v>
      </c>
    </row>
    <row r="1077" spans="20:48">
      <c r="T1077" s="79"/>
      <c r="U1077" s="79"/>
      <c r="AT1077" t="s">
        <v>292</v>
      </c>
      <c r="AU1077" s="93">
        <v>1060</v>
      </c>
      <c r="AV1077" t="s">
        <v>130</v>
      </c>
    </row>
    <row r="1078" spans="20:48">
      <c r="T1078" s="79"/>
      <c r="U1078" s="79"/>
      <c r="AT1078" t="s">
        <v>293</v>
      </c>
      <c r="AU1078" s="93">
        <v>1061</v>
      </c>
      <c r="AV1078" t="s">
        <v>120</v>
      </c>
    </row>
    <row r="1079" spans="20:48">
      <c r="T1079" s="79"/>
      <c r="U1079" s="79"/>
      <c r="AT1079" t="s">
        <v>294</v>
      </c>
      <c r="AU1079" s="93">
        <v>1062</v>
      </c>
      <c r="AV1079" t="s">
        <v>117</v>
      </c>
    </row>
    <row r="1080" spans="20:48">
      <c r="T1080" s="79"/>
      <c r="U1080" s="79"/>
      <c r="AT1080" t="s">
        <v>295</v>
      </c>
      <c r="AU1080" s="93">
        <v>1063</v>
      </c>
      <c r="AV1080" t="s">
        <v>111</v>
      </c>
    </row>
    <row r="1081" spans="20:48">
      <c r="T1081" s="79"/>
      <c r="U1081" s="79"/>
      <c r="AT1081" t="s">
        <v>296</v>
      </c>
      <c r="AU1081" s="93">
        <v>1064</v>
      </c>
      <c r="AV1081" t="s">
        <v>124</v>
      </c>
    </row>
    <row r="1082" spans="20:48">
      <c r="T1082" s="79"/>
      <c r="U1082" s="79"/>
      <c r="AT1082" t="s">
        <v>297</v>
      </c>
      <c r="AU1082" s="93">
        <v>1065</v>
      </c>
      <c r="AV1082" t="s">
        <v>150</v>
      </c>
    </row>
    <row r="1083" spans="20:48">
      <c r="T1083" s="79"/>
      <c r="U1083" s="79"/>
      <c r="AT1083" t="s">
        <v>298</v>
      </c>
      <c r="AU1083" s="93">
        <v>1066</v>
      </c>
      <c r="AV1083" t="s">
        <v>132</v>
      </c>
    </row>
    <row r="1084" spans="20:48">
      <c r="T1084" s="79"/>
      <c r="U1084" s="79"/>
      <c r="AT1084" t="s">
        <v>299</v>
      </c>
      <c r="AU1084" s="93">
        <v>1067</v>
      </c>
      <c r="AV1084" t="s">
        <v>120</v>
      </c>
    </row>
    <row r="1085" spans="20:48">
      <c r="T1085" s="79"/>
      <c r="U1085" s="79"/>
      <c r="AT1085" t="s">
        <v>300</v>
      </c>
      <c r="AU1085" s="93">
        <v>1068</v>
      </c>
      <c r="AV1085" t="s">
        <v>111</v>
      </c>
    </row>
    <row r="1086" spans="20:48">
      <c r="T1086" s="79"/>
      <c r="U1086" s="79"/>
      <c r="AT1086" t="s">
        <v>301</v>
      </c>
      <c r="AU1086" s="93">
        <v>1069</v>
      </c>
      <c r="AV1086" t="s">
        <v>123</v>
      </c>
    </row>
    <row r="1087" spans="20:48">
      <c r="T1087" s="79"/>
      <c r="U1087" s="79"/>
      <c r="AT1087" t="s">
        <v>302</v>
      </c>
      <c r="AU1087" s="93">
        <v>1070</v>
      </c>
      <c r="AV1087" t="s">
        <v>150</v>
      </c>
    </row>
    <row r="1088" spans="20:48">
      <c r="T1088" s="79"/>
      <c r="U1088" s="79"/>
      <c r="AT1088" t="s">
        <v>303</v>
      </c>
      <c r="AU1088" s="93">
        <v>1071</v>
      </c>
      <c r="AV1088" t="s">
        <v>127</v>
      </c>
    </row>
    <row r="1089" spans="20:48">
      <c r="T1089" s="79"/>
      <c r="U1089" s="79"/>
      <c r="AT1089" t="s">
        <v>304</v>
      </c>
      <c r="AU1089" s="93">
        <v>1072</v>
      </c>
      <c r="AV1089" t="s">
        <v>133</v>
      </c>
    </row>
    <row r="1090" spans="20:48">
      <c r="T1090" s="79"/>
      <c r="U1090" s="79"/>
      <c r="AT1090" t="s">
        <v>305</v>
      </c>
      <c r="AU1090" s="93">
        <v>1073</v>
      </c>
      <c r="AV1090" t="s">
        <v>148</v>
      </c>
    </row>
    <row r="1091" spans="20:48">
      <c r="T1091" s="79"/>
      <c r="U1091" s="79"/>
      <c r="AT1091" t="s">
        <v>306</v>
      </c>
      <c r="AU1091" s="93">
        <v>1074</v>
      </c>
      <c r="AV1091" t="s">
        <v>111</v>
      </c>
    </row>
    <row r="1092" spans="20:48">
      <c r="T1092" s="79"/>
      <c r="U1092" s="79"/>
      <c r="AT1092" t="s">
        <v>307</v>
      </c>
      <c r="AU1092" s="93">
        <v>1075</v>
      </c>
      <c r="AV1092" t="s">
        <v>140</v>
      </c>
    </row>
    <row r="1093" spans="20:48">
      <c r="T1093" s="79"/>
      <c r="U1093" s="79"/>
      <c r="AT1093" t="s">
        <v>308</v>
      </c>
      <c r="AU1093" s="93">
        <v>1076</v>
      </c>
      <c r="AV1093" t="s">
        <v>111</v>
      </c>
    </row>
    <row r="1094" spans="20:48">
      <c r="T1094" s="79"/>
      <c r="U1094" s="79"/>
      <c r="AT1094" t="s">
        <v>309</v>
      </c>
      <c r="AU1094" s="93">
        <v>1077</v>
      </c>
      <c r="AV1094" t="s">
        <v>136</v>
      </c>
    </row>
    <row r="1095" spans="20:48">
      <c r="T1095" s="79"/>
      <c r="U1095" s="79"/>
      <c r="AT1095" t="s">
        <v>310</v>
      </c>
      <c r="AU1095" s="93">
        <v>1078</v>
      </c>
      <c r="AV1095" t="s">
        <v>114</v>
      </c>
    </row>
    <row r="1096" spans="20:48">
      <c r="T1096" s="79"/>
      <c r="U1096" s="79"/>
      <c r="AT1096" t="s">
        <v>311</v>
      </c>
      <c r="AU1096" s="93">
        <v>1079</v>
      </c>
      <c r="AV1096" t="s">
        <v>145</v>
      </c>
    </row>
    <row r="1097" spans="20:48">
      <c r="T1097" s="79"/>
      <c r="U1097" s="79"/>
      <c r="AT1097" t="s">
        <v>312</v>
      </c>
      <c r="AU1097" s="93">
        <v>1080</v>
      </c>
      <c r="AV1097" t="s">
        <v>111</v>
      </c>
    </row>
    <row r="1098" spans="20:48">
      <c r="T1098" s="79"/>
      <c r="U1098" s="79"/>
      <c r="AT1098" t="s">
        <v>313</v>
      </c>
      <c r="AU1098" s="93">
        <v>1081</v>
      </c>
      <c r="AV1098" t="s">
        <v>123</v>
      </c>
    </row>
    <row r="1099" spans="20:48">
      <c r="T1099" s="79"/>
      <c r="U1099" s="79"/>
      <c r="AT1099" t="s">
        <v>314</v>
      </c>
      <c r="AU1099" s="93">
        <v>1082</v>
      </c>
      <c r="AV1099" t="s">
        <v>133</v>
      </c>
    </row>
    <row r="1100" spans="20:48">
      <c r="T1100" s="79"/>
      <c r="U1100" s="79"/>
      <c r="AT1100" t="s">
        <v>315</v>
      </c>
      <c r="AU1100" s="93">
        <v>1083</v>
      </c>
      <c r="AV1100" t="s">
        <v>130</v>
      </c>
    </row>
    <row r="1101" spans="20:48">
      <c r="T1101" s="79"/>
      <c r="U1101" s="79"/>
      <c r="AT1101" t="s">
        <v>316</v>
      </c>
      <c r="AU1101" s="93">
        <v>1084</v>
      </c>
      <c r="AV1101" t="s">
        <v>117</v>
      </c>
    </row>
    <row r="1102" spans="20:48">
      <c r="T1102" s="79"/>
      <c r="U1102" s="79"/>
      <c r="AT1102" t="s">
        <v>317</v>
      </c>
      <c r="AU1102" s="93">
        <v>1085</v>
      </c>
      <c r="AV1102" t="s">
        <v>115</v>
      </c>
    </row>
    <row r="1103" spans="20:48">
      <c r="T1103" s="79"/>
      <c r="U1103" s="79"/>
      <c r="AT1103" t="s">
        <v>318</v>
      </c>
      <c r="AU1103" s="93">
        <v>1086</v>
      </c>
      <c r="AV1103" t="s">
        <v>134</v>
      </c>
    </row>
    <row r="1104" spans="20:48">
      <c r="T1104" s="79"/>
      <c r="U1104" s="79"/>
      <c r="AT1104" t="s">
        <v>319</v>
      </c>
      <c r="AU1104" s="93">
        <v>1087</v>
      </c>
      <c r="AV1104" t="s">
        <v>150</v>
      </c>
    </row>
    <row r="1105" spans="20:48">
      <c r="T1105" s="79"/>
      <c r="U1105" s="79"/>
      <c r="AT1105" t="s">
        <v>320</v>
      </c>
      <c r="AU1105" s="93">
        <v>1088</v>
      </c>
      <c r="AV1105" t="s">
        <v>123</v>
      </c>
    </row>
    <row r="1106" spans="20:48">
      <c r="T1106" s="79"/>
      <c r="U1106" s="79"/>
      <c r="AT1106" t="s">
        <v>321</v>
      </c>
      <c r="AU1106" s="93">
        <v>1089</v>
      </c>
      <c r="AV1106" t="s">
        <v>136</v>
      </c>
    </row>
    <row r="1107" spans="20:48">
      <c r="T1107" s="79"/>
      <c r="U1107" s="79"/>
      <c r="AT1107" t="s">
        <v>322</v>
      </c>
      <c r="AU1107" s="93">
        <v>1090</v>
      </c>
      <c r="AV1107" t="s">
        <v>127</v>
      </c>
    </row>
    <row r="1108" spans="20:48">
      <c r="T1108" s="79"/>
      <c r="U1108" s="79"/>
      <c r="AT1108" t="s">
        <v>323</v>
      </c>
      <c r="AU1108" s="93">
        <v>1091</v>
      </c>
      <c r="AV1108" t="s">
        <v>134</v>
      </c>
    </row>
    <row r="1109" spans="20:48">
      <c r="T1109" s="79"/>
      <c r="U1109" s="79"/>
      <c r="AT1109" t="s">
        <v>324</v>
      </c>
      <c r="AU1109" s="93">
        <v>1092</v>
      </c>
      <c r="AV1109" t="s">
        <v>132</v>
      </c>
    </row>
    <row r="1110" spans="20:48">
      <c r="T1110" s="79"/>
      <c r="U1110" s="79"/>
      <c r="AT1110" t="s">
        <v>325</v>
      </c>
      <c r="AU1110" s="93">
        <v>1093</v>
      </c>
      <c r="AV1110" t="s">
        <v>117</v>
      </c>
    </row>
    <row r="1111" spans="20:48">
      <c r="T1111" s="79"/>
      <c r="U1111" s="79"/>
      <c r="AT1111" t="s">
        <v>326</v>
      </c>
      <c r="AU1111" s="93">
        <v>1094</v>
      </c>
      <c r="AV1111" t="s">
        <v>120</v>
      </c>
    </row>
    <row r="1112" spans="20:48">
      <c r="T1112" s="79"/>
      <c r="U1112" s="79"/>
      <c r="AT1112" t="s">
        <v>327</v>
      </c>
      <c r="AU1112" s="93">
        <v>1095</v>
      </c>
      <c r="AV1112" t="s">
        <v>136</v>
      </c>
    </row>
    <row r="1113" spans="20:48">
      <c r="T1113" s="79"/>
      <c r="U1113" s="79"/>
      <c r="AT1113" t="s">
        <v>328</v>
      </c>
      <c r="AU1113" s="93">
        <v>1096</v>
      </c>
      <c r="AV1113" t="s">
        <v>114</v>
      </c>
    </row>
    <row r="1114" spans="20:48">
      <c r="T1114" s="79"/>
      <c r="U1114" s="79"/>
      <c r="AT1114" t="s">
        <v>329</v>
      </c>
      <c r="AU1114" s="93">
        <v>1097</v>
      </c>
      <c r="AV1114" t="s">
        <v>132</v>
      </c>
    </row>
    <row r="1115" spans="20:48">
      <c r="T1115" s="79"/>
      <c r="U1115" s="79"/>
      <c r="AT1115" t="s">
        <v>330</v>
      </c>
      <c r="AU1115" s="93">
        <v>1098</v>
      </c>
      <c r="AV1115" t="s">
        <v>117</v>
      </c>
    </row>
    <row r="1116" spans="20:48">
      <c r="T1116" s="79"/>
      <c r="U1116" s="79"/>
      <c r="AT1116" t="s">
        <v>331</v>
      </c>
      <c r="AU1116" s="93">
        <v>1099</v>
      </c>
      <c r="AV1116" t="s">
        <v>142</v>
      </c>
    </row>
    <row r="1117" spans="20:48">
      <c r="T1117" s="79"/>
      <c r="U1117" s="79"/>
      <c r="AT1117" t="s">
        <v>332</v>
      </c>
      <c r="AU1117" s="93">
        <v>1100</v>
      </c>
      <c r="AV1117" t="s">
        <v>114</v>
      </c>
    </row>
    <row r="1118" spans="20:48">
      <c r="T1118" s="79"/>
      <c r="U1118" s="79"/>
      <c r="AT1118" t="s">
        <v>333</v>
      </c>
      <c r="AU1118" s="93">
        <v>1101</v>
      </c>
      <c r="AV1118" t="s">
        <v>111</v>
      </c>
    </row>
    <row r="1119" spans="20:48">
      <c r="T1119" s="79"/>
      <c r="U1119" s="79"/>
      <c r="AT1119" t="s">
        <v>334</v>
      </c>
      <c r="AU1119" s="93">
        <v>1102</v>
      </c>
      <c r="AV1119" t="s">
        <v>115</v>
      </c>
    </row>
    <row r="1120" spans="20:48">
      <c r="T1120" s="79"/>
      <c r="U1120" s="79"/>
      <c r="AT1120" t="s">
        <v>335</v>
      </c>
      <c r="AU1120" s="93">
        <v>1103</v>
      </c>
      <c r="AV1120" t="s">
        <v>111</v>
      </c>
    </row>
    <row r="1121" spans="20:48">
      <c r="T1121" s="79"/>
      <c r="U1121" s="79"/>
      <c r="AT1121" t="s">
        <v>336</v>
      </c>
      <c r="AU1121" s="93">
        <v>1104</v>
      </c>
      <c r="AV1121" t="s">
        <v>120</v>
      </c>
    </row>
    <row r="1122" spans="20:48">
      <c r="T1122" s="79"/>
      <c r="U1122" s="79"/>
      <c r="AT1122" t="s">
        <v>337</v>
      </c>
      <c r="AU1122" s="93">
        <v>1105</v>
      </c>
      <c r="AV1122" t="s">
        <v>120</v>
      </c>
    </row>
    <row r="1123" spans="20:48">
      <c r="T1123" s="79"/>
      <c r="U1123" s="79"/>
      <c r="AT1123" t="s">
        <v>338</v>
      </c>
      <c r="AU1123" s="93">
        <v>1106</v>
      </c>
      <c r="AV1123" t="s">
        <v>141</v>
      </c>
    </row>
    <row r="1124" spans="20:48">
      <c r="T1124" s="79"/>
      <c r="U1124" s="79"/>
      <c r="AT1124" t="s">
        <v>339</v>
      </c>
      <c r="AU1124" s="93">
        <v>1107</v>
      </c>
      <c r="AV1124" t="s">
        <v>123</v>
      </c>
    </row>
    <row r="1125" spans="20:48">
      <c r="T1125" s="79"/>
      <c r="U1125" s="79"/>
      <c r="AT1125" t="s">
        <v>340</v>
      </c>
      <c r="AU1125" s="93">
        <v>1108</v>
      </c>
      <c r="AV1125" t="s">
        <v>111</v>
      </c>
    </row>
    <row r="1126" spans="20:48">
      <c r="T1126" s="79"/>
      <c r="U1126" s="79"/>
      <c r="AT1126" t="s">
        <v>341</v>
      </c>
      <c r="AU1126" s="93">
        <v>1109</v>
      </c>
      <c r="AV1126" t="s">
        <v>115</v>
      </c>
    </row>
    <row r="1127" spans="20:48">
      <c r="T1127" s="79"/>
      <c r="U1127" s="79"/>
      <c r="AT1127" t="s">
        <v>342</v>
      </c>
      <c r="AU1127" s="93">
        <v>1110</v>
      </c>
      <c r="AV1127" t="s">
        <v>136</v>
      </c>
    </row>
    <row r="1128" spans="20:48">
      <c r="T1128" s="79"/>
      <c r="U1128" s="79"/>
      <c r="AT1128" t="s">
        <v>343</v>
      </c>
      <c r="AU1128" s="93">
        <v>1111</v>
      </c>
      <c r="AV1128" t="s">
        <v>132</v>
      </c>
    </row>
    <row r="1129" spans="20:48">
      <c r="T1129" s="79"/>
      <c r="U1129" s="79"/>
      <c r="AT1129" t="s">
        <v>344</v>
      </c>
      <c r="AU1129" s="93">
        <v>1112</v>
      </c>
      <c r="AV1129" t="s">
        <v>115</v>
      </c>
    </row>
    <row r="1130" spans="20:48">
      <c r="T1130" s="79"/>
      <c r="U1130" s="79"/>
      <c r="AT1130" t="s">
        <v>345</v>
      </c>
      <c r="AU1130" s="93">
        <v>1113</v>
      </c>
      <c r="AV1130" t="s">
        <v>111</v>
      </c>
    </row>
    <row r="1131" spans="20:48">
      <c r="T1131" s="79"/>
      <c r="U1131" s="79"/>
      <c r="AT1131" t="s">
        <v>346</v>
      </c>
      <c r="AU1131" s="93">
        <v>1114</v>
      </c>
      <c r="AV1131" t="s">
        <v>111</v>
      </c>
    </row>
    <row r="1132" spans="20:48">
      <c r="T1132" s="79"/>
      <c r="U1132" s="79"/>
      <c r="AT1132" t="s">
        <v>347</v>
      </c>
      <c r="AU1132" s="93">
        <v>1115</v>
      </c>
      <c r="AV1132" t="s">
        <v>131</v>
      </c>
    </row>
    <row r="1133" spans="20:48">
      <c r="T1133" s="79"/>
      <c r="U1133" s="79"/>
      <c r="AT1133" t="s">
        <v>348</v>
      </c>
      <c r="AU1133" s="93">
        <v>1116</v>
      </c>
      <c r="AV1133" t="s">
        <v>115</v>
      </c>
    </row>
    <row r="1134" spans="20:48">
      <c r="T1134" s="79"/>
      <c r="U1134" s="79"/>
      <c r="AT1134" t="s">
        <v>349</v>
      </c>
      <c r="AU1134" s="93">
        <v>1117</v>
      </c>
      <c r="AV1134" t="s">
        <v>132</v>
      </c>
    </row>
    <row r="1135" spans="20:48">
      <c r="T1135" s="79"/>
      <c r="U1135" s="79"/>
      <c r="AT1135" t="s">
        <v>350</v>
      </c>
      <c r="AU1135" s="93">
        <v>1118</v>
      </c>
      <c r="AV1135" t="s">
        <v>115</v>
      </c>
    </row>
    <row r="1136" spans="20:48">
      <c r="T1136" s="79"/>
      <c r="U1136" s="79"/>
      <c r="AT1136" t="s">
        <v>351</v>
      </c>
      <c r="AU1136" s="93">
        <v>1119</v>
      </c>
      <c r="AV1136" t="s">
        <v>136</v>
      </c>
    </row>
    <row r="1137" spans="20:48">
      <c r="T1137" s="79"/>
      <c r="U1137" s="79"/>
      <c r="AT1137" t="s">
        <v>352</v>
      </c>
      <c r="AU1137" s="93">
        <v>1120</v>
      </c>
      <c r="AV1137" t="s">
        <v>145</v>
      </c>
    </row>
    <row r="1138" spans="20:48">
      <c r="T1138" s="79"/>
      <c r="U1138" s="79"/>
      <c r="AT1138" t="s">
        <v>353</v>
      </c>
      <c r="AU1138" s="93">
        <v>1121</v>
      </c>
      <c r="AV1138" t="s">
        <v>119</v>
      </c>
    </row>
    <row r="1139" spans="20:48">
      <c r="T1139" s="79"/>
      <c r="U1139" s="79"/>
      <c r="AT1139" t="s">
        <v>354</v>
      </c>
      <c r="AU1139" s="93">
        <v>1122</v>
      </c>
      <c r="AV1139" t="s">
        <v>147</v>
      </c>
    </row>
    <row r="1140" spans="20:48">
      <c r="T1140" s="79"/>
      <c r="U1140" s="79"/>
      <c r="AT1140" t="s">
        <v>355</v>
      </c>
      <c r="AU1140" s="93">
        <v>1123</v>
      </c>
      <c r="AV1140" t="s">
        <v>111</v>
      </c>
    </row>
    <row r="1141" spans="20:48">
      <c r="T1141" s="79"/>
      <c r="U1141" s="79"/>
      <c r="AT1141" t="s">
        <v>356</v>
      </c>
      <c r="AU1141" s="93">
        <v>1124</v>
      </c>
      <c r="AV1141" t="s">
        <v>136</v>
      </c>
    </row>
    <row r="1142" spans="20:48">
      <c r="T1142" s="79"/>
      <c r="U1142" s="79"/>
      <c r="AT1142" t="s">
        <v>357</v>
      </c>
      <c r="AU1142" s="93">
        <v>1125</v>
      </c>
      <c r="AV1142" t="s">
        <v>124</v>
      </c>
    </row>
    <row r="1143" spans="20:48">
      <c r="T1143" s="79"/>
      <c r="U1143" s="79"/>
      <c r="AT1143" t="s">
        <v>358</v>
      </c>
      <c r="AU1143" s="93">
        <v>1126</v>
      </c>
      <c r="AV1143" t="s">
        <v>140</v>
      </c>
    </row>
    <row r="1144" spans="20:48">
      <c r="T1144" s="79"/>
      <c r="U1144" s="79"/>
      <c r="AT1144" t="s">
        <v>359</v>
      </c>
      <c r="AU1144" s="93">
        <v>1127</v>
      </c>
      <c r="AV1144" t="s">
        <v>114</v>
      </c>
    </row>
    <row r="1145" spans="20:48">
      <c r="T1145" s="79"/>
      <c r="U1145" s="79"/>
      <c r="AT1145" t="s">
        <v>360</v>
      </c>
      <c r="AU1145" s="93">
        <v>1128</v>
      </c>
      <c r="AV1145" t="s">
        <v>123</v>
      </c>
    </row>
    <row r="1146" spans="20:48">
      <c r="T1146" s="79"/>
      <c r="U1146" s="79"/>
      <c r="AT1146" t="s">
        <v>361</v>
      </c>
      <c r="AU1146" s="93">
        <v>1129</v>
      </c>
      <c r="AV1146" t="s">
        <v>117</v>
      </c>
    </row>
    <row r="1147" spans="20:48">
      <c r="T1147" s="79"/>
      <c r="U1147" s="79"/>
      <c r="AT1147" t="s">
        <v>362</v>
      </c>
      <c r="AU1147" s="93">
        <v>1130</v>
      </c>
      <c r="AV1147" t="s">
        <v>117</v>
      </c>
    </row>
    <row r="1148" spans="20:48">
      <c r="T1148" s="79"/>
      <c r="U1148" s="79"/>
      <c r="AT1148" t="s">
        <v>363</v>
      </c>
      <c r="AU1148" s="93">
        <v>1131</v>
      </c>
      <c r="AV1148" t="s">
        <v>111</v>
      </c>
    </row>
    <row r="1149" spans="20:48">
      <c r="T1149" s="79"/>
      <c r="U1149" s="79"/>
      <c r="AT1149" t="s">
        <v>364</v>
      </c>
      <c r="AU1149" s="93">
        <v>1132</v>
      </c>
      <c r="AV1149" t="s">
        <v>111</v>
      </c>
    </row>
    <row r="1150" spans="20:48">
      <c r="T1150" s="79"/>
      <c r="U1150" s="79"/>
      <c r="AT1150" t="s">
        <v>365</v>
      </c>
      <c r="AU1150" s="93">
        <v>1133</v>
      </c>
      <c r="AV1150" t="s">
        <v>138</v>
      </c>
    </row>
    <row r="1151" spans="20:48">
      <c r="T1151" s="79"/>
      <c r="U1151" s="79"/>
      <c r="AT1151" t="s">
        <v>366</v>
      </c>
      <c r="AU1151" s="93">
        <v>1134</v>
      </c>
      <c r="AV1151" t="s">
        <v>129</v>
      </c>
    </row>
    <row r="1152" spans="20:48">
      <c r="T1152" s="79"/>
      <c r="U1152" s="79"/>
      <c r="AT1152" t="s">
        <v>367</v>
      </c>
      <c r="AU1152" s="93">
        <v>1135</v>
      </c>
      <c r="AV1152" t="s">
        <v>113</v>
      </c>
    </row>
    <row r="1153" spans="20:48">
      <c r="T1153" s="79"/>
      <c r="U1153" s="79"/>
      <c r="AT1153" t="s">
        <v>368</v>
      </c>
      <c r="AU1153" s="93">
        <v>1136</v>
      </c>
      <c r="AV1153" t="s">
        <v>114</v>
      </c>
    </row>
    <row r="1154" spans="20:48">
      <c r="T1154" s="79"/>
      <c r="U1154" s="79"/>
      <c r="AT1154" t="s">
        <v>369</v>
      </c>
      <c r="AU1154" s="93">
        <v>1137</v>
      </c>
      <c r="AV1154" t="s">
        <v>127</v>
      </c>
    </row>
    <row r="1155" spans="20:48">
      <c r="T1155" s="79"/>
      <c r="U1155" s="79"/>
      <c r="AT1155" t="s">
        <v>370</v>
      </c>
      <c r="AU1155" s="93">
        <v>1138</v>
      </c>
      <c r="AV1155" t="s">
        <v>150</v>
      </c>
    </row>
    <row r="1156" spans="20:48">
      <c r="T1156" s="79"/>
      <c r="U1156" s="79"/>
      <c r="AT1156" t="s">
        <v>371</v>
      </c>
      <c r="AU1156" s="93">
        <v>1139</v>
      </c>
      <c r="AV1156" t="s">
        <v>111</v>
      </c>
    </row>
    <row r="1157" spans="20:48">
      <c r="T1157" s="79"/>
      <c r="U1157" s="79"/>
      <c r="AT1157" t="s">
        <v>372</v>
      </c>
      <c r="AU1157" s="93">
        <v>1140</v>
      </c>
      <c r="AV1157" t="s">
        <v>115</v>
      </c>
    </row>
    <row r="1158" spans="20:48">
      <c r="T1158" s="79"/>
      <c r="U1158" s="79"/>
      <c r="AT1158" t="s">
        <v>373</v>
      </c>
      <c r="AU1158" s="93">
        <v>1141</v>
      </c>
      <c r="AV1158" t="s">
        <v>115</v>
      </c>
    </row>
    <row r="1159" spans="20:48">
      <c r="T1159" s="79"/>
      <c r="U1159" s="79"/>
      <c r="AT1159" t="s">
        <v>374</v>
      </c>
      <c r="AU1159" s="93">
        <v>1142</v>
      </c>
      <c r="AV1159" t="s">
        <v>120</v>
      </c>
    </row>
    <row r="1160" spans="20:48">
      <c r="T1160" s="79"/>
      <c r="U1160" s="79"/>
      <c r="AT1160" t="s">
        <v>375</v>
      </c>
      <c r="AU1160" s="93">
        <v>1143</v>
      </c>
      <c r="AV1160" t="s">
        <v>134</v>
      </c>
    </row>
    <row r="1161" spans="20:48">
      <c r="T1161" s="79"/>
      <c r="U1161" s="79"/>
      <c r="AT1161" t="s">
        <v>376</v>
      </c>
      <c r="AU1161" s="93">
        <v>1144</v>
      </c>
      <c r="AV1161" t="s">
        <v>132</v>
      </c>
    </row>
    <row r="1162" spans="20:48">
      <c r="T1162" s="79"/>
      <c r="U1162" s="79"/>
      <c r="AT1162" t="s">
        <v>377</v>
      </c>
      <c r="AU1162" s="93">
        <v>1145</v>
      </c>
      <c r="AV1162" t="s">
        <v>111</v>
      </c>
    </row>
    <row r="1163" spans="20:48">
      <c r="T1163" s="79"/>
      <c r="U1163" s="79"/>
      <c r="AT1163" t="s">
        <v>378</v>
      </c>
      <c r="AU1163" s="93">
        <v>1146</v>
      </c>
      <c r="AV1163" t="s">
        <v>127</v>
      </c>
    </row>
    <row r="1164" spans="20:48">
      <c r="T1164" s="79"/>
      <c r="U1164" s="79"/>
      <c r="AT1164" t="s">
        <v>379</v>
      </c>
      <c r="AU1164" s="93">
        <v>1147</v>
      </c>
      <c r="AV1164" t="s">
        <v>134</v>
      </c>
    </row>
    <row r="1165" spans="20:48">
      <c r="T1165" s="79"/>
      <c r="U1165" s="79"/>
      <c r="AT1165" t="s">
        <v>380</v>
      </c>
      <c r="AU1165" s="93">
        <v>1148</v>
      </c>
      <c r="AV1165" t="s">
        <v>111</v>
      </c>
    </row>
    <row r="1166" spans="20:48">
      <c r="T1166" s="79"/>
      <c r="U1166" s="79"/>
      <c r="AT1166" t="s">
        <v>381</v>
      </c>
      <c r="AU1166" s="93">
        <v>1149</v>
      </c>
      <c r="AV1166" t="s">
        <v>129</v>
      </c>
    </row>
    <row r="1167" spans="20:48">
      <c r="T1167" s="79"/>
      <c r="U1167" s="79"/>
      <c r="AT1167" t="s">
        <v>382</v>
      </c>
      <c r="AU1167" s="93">
        <v>1150</v>
      </c>
      <c r="AV1167" t="s">
        <v>129</v>
      </c>
    </row>
    <row r="1168" spans="20:48">
      <c r="T1168" s="79"/>
      <c r="U1168" s="79"/>
      <c r="AT1168" t="s">
        <v>383</v>
      </c>
      <c r="AU1168" s="93">
        <v>1151</v>
      </c>
      <c r="AV1168" t="s">
        <v>111</v>
      </c>
    </row>
    <row r="1169" spans="20:48">
      <c r="T1169" s="79"/>
      <c r="U1169" s="79"/>
      <c r="AT1169" t="s">
        <v>384</v>
      </c>
      <c r="AU1169" s="93">
        <v>1152</v>
      </c>
      <c r="AV1169" t="s">
        <v>123</v>
      </c>
    </row>
    <row r="1170" spans="20:48">
      <c r="T1170" s="79"/>
      <c r="U1170" s="79"/>
      <c r="AT1170" t="s">
        <v>385</v>
      </c>
      <c r="AU1170" s="93">
        <v>1153</v>
      </c>
      <c r="AV1170" t="s">
        <v>111</v>
      </c>
    </row>
    <row r="1171" spans="20:48">
      <c r="T1171" s="79"/>
      <c r="U1171" s="79"/>
      <c r="AT1171" t="s">
        <v>386</v>
      </c>
      <c r="AU1171" s="93">
        <v>1154</v>
      </c>
      <c r="AV1171" t="s">
        <v>131</v>
      </c>
    </row>
    <row r="1172" spans="20:48">
      <c r="T1172" s="79"/>
      <c r="U1172" s="79"/>
      <c r="AT1172" t="s">
        <v>387</v>
      </c>
      <c r="AU1172" s="93">
        <v>1155</v>
      </c>
      <c r="AV1172" t="s">
        <v>123</v>
      </c>
    </row>
    <row r="1173" spans="20:48">
      <c r="T1173" s="79"/>
      <c r="U1173" s="79"/>
      <c r="AT1173" t="s">
        <v>388</v>
      </c>
      <c r="AU1173" s="93">
        <v>1156</v>
      </c>
      <c r="AV1173" t="s">
        <v>111</v>
      </c>
    </row>
    <row r="1174" spans="20:48">
      <c r="T1174" s="79"/>
      <c r="U1174" s="79"/>
      <c r="AT1174" t="s">
        <v>389</v>
      </c>
      <c r="AU1174" s="93">
        <v>1157</v>
      </c>
      <c r="AV1174" t="s">
        <v>115</v>
      </c>
    </row>
    <row r="1175" spans="20:48">
      <c r="T1175" s="79"/>
      <c r="U1175" s="79"/>
      <c r="AT1175" t="s">
        <v>390</v>
      </c>
      <c r="AU1175" s="93">
        <v>1158</v>
      </c>
      <c r="AV1175" t="s">
        <v>117</v>
      </c>
    </row>
    <row r="1176" spans="20:48">
      <c r="T1176" s="79"/>
      <c r="U1176" s="79"/>
      <c r="AT1176" t="s">
        <v>391</v>
      </c>
      <c r="AU1176" s="93">
        <v>1159</v>
      </c>
      <c r="AV1176" t="s">
        <v>141</v>
      </c>
    </row>
    <row r="1177" spans="20:48">
      <c r="T1177" s="79"/>
      <c r="U1177" s="79"/>
      <c r="AT1177" t="s">
        <v>392</v>
      </c>
      <c r="AU1177" s="93">
        <v>1160</v>
      </c>
      <c r="AV1177" t="s">
        <v>184</v>
      </c>
    </row>
    <row r="1178" spans="20:48">
      <c r="T1178" s="79"/>
      <c r="U1178" s="79"/>
      <c r="AT1178" t="s">
        <v>393</v>
      </c>
      <c r="AU1178" s="93">
        <v>1161</v>
      </c>
      <c r="AV1178" t="s">
        <v>131</v>
      </c>
    </row>
    <row r="1179" spans="20:48">
      <c r="T1179" s="79"/>
      <c r="U1179" s="79"/>
      <c r="AT1179" t="s">
        <v>394</v>
      </c>
      <c r="AU1179" s="93">
        <v>1162</v>
      </c>
      <c r="AV1179" t="s">
        <v>129</v>
      </c>
    </row>
    <row r="1180" spans="20:48">
      <c r="T1180" s="79"/>
      <c r="U1180" s="79"/>
      <c r="AT1180" t="s">
        <v>395</v>
      </c>
      <c r="AU1180" s="93">
        <v>1163</v>
      </c>
      <c r="AV1180" t="s">
        <v>150</v>
      </c>
    </row>
    <row r="1181" spans="20:48">
      <c r="T1181" s="79"/>
      <c r="U1181" s="79"/>
      <c r="AT1181" t="s">
        <v>396</v>
      </c>
      <c r="AU1181" s="93">
        <v>1164</v>
      </c>
      <c r="AV1181" t="s">
        <v>111</v>
      </c>
    </row>
    <row r="1182" spans="20:48">
      <c r="T1182" s="79"/>
      <c r="U1182" s="79"/>
      <c r="AT1182" t="s">
        <v>397</v>
      </c>
      <c r="AU1182" s="93">
        <v>1165</v>
      </c>
      <c r="AV1182" t="s">
        <v>134</v>
      </c>
    </row>
    <row r="1183" spans="20:48">
      <c r="T1183" s="79"/>
      <c r="U1183" s="79"/>
      <c r="AT1183" t="s">
        <v>398</v>
      </c>
      <c r="AU1183" s="93">
        <v>1166</v>
      </c>
      <c r="AV1183" t="s">
        <v>145</v>
      </c>
    </row>
    <row r="1184" spans="20:48">
      <c r="T1184" s="79"/>
      <c r="U1184" s="79"/>
      <c r="AT1184" t="s">
        <v>399</v>
      </c>
      <c r="AU1184" s="93">
        <v>1167</v>
      </c>
      <c r="AV1184" t="s">
        <v>111</v>
      </c>
    </row>
    <row r="1185" spans="20:48">
      <c r="T1185" s="79"/>
      <c r="U1185" s="79"/>
      <c r="AT1185" t="s">
        <v>400</v>
      </c>
      <c r="AU1185" s="93">
        <v>1168</v>
      </c>
      <c r="AV1185" t="s">
        <v>117</v>
      </c>
    </row>
    <row r="1186" spans="20:48">
      <c r="T1186" s="79"/>
      <c r="U1186" s="79"/>
      <c r="AT1186" t="s">
        <v>401</v>
      </c>
      <c r="AU1186" s="93">
        <v>1169</v>
      </c>
      <c r="AV1186" t="s">
        <v>120</v>
      </c>
    </row>
    <row r="1187" spans="20:48">
      <c r="T1187" s="79"/>
      <c r="U1187" s="79"/>
      <c r="AT1187" t="s">
        <v>402</v>
      </c>
      <c r="AU1187" s="93">
        <v>1170</v>
      </c>
      <c r="AV1187" t="s">
        <v>111</v>
      </c>
    </row>
    <row r="1188" spans="20:48">
      <c r="T1188" s="79"/>
      <c r="U1188" s="79"/>
      <c r="AT1188" t="s">
        <v>403</v>
      </c>
      <c r="AU1188" s="93">
        <v>1171</v>
      </c>
      <c r="AV1188" t="s">
        <v>114</v>
      </c>
    </row>
    <row r="1189" spans="20:48">
      <c r="T1189" s="79"/>
      <c r="U1189" s="79"/>
      <c r="AT1189" t="s">
        <v>404</v>
      </c>
      <c r="AU1189" s="93">
        <v>1172</v>
      </c>
      <c r="AV1189" t="s">
        <v>115</v>
      </c>
    </row>
    <row r="1190" spans="20:48">
      <c r="T1190" s="79"/>
      <c r="U1190" s="79"/>
      <c r="AT1190" t="s">
        <v>405</v>
      </c>
      <c r="AU1190" s="93">
        <v>1173</v>
      </c>
      <c r="AV1190" t="s">
        <v>131</v>
      </c>
    </row>
    <row r="1191" spans="20:48">
      <c r="T1191" s="79"/>
      <c r="U1191" s="79"/>
      <c r="AT1191" t="s">
        <v>406</v>
      </c>
      <c r="AU1191" s="93">
        <v>1174</v>
      </c>
      <c r="AV1191" t="s">
        <v>123</v>
      </c>
    </row>
    <row r="1192" spans="20:48">
      <c r="T1192" s="79"/>
      <c r="U1192" s="79"/>
      <c r="AT1192" t="s">
        <v>407</v>
      </c>
      <c r="AU1192" s="93">
        <v>1175</v>
      </c>
      <c r="AV1192" t="s">
        <v>127</v>
      </c>
    </row>
    <row r="1193" spans="20:48">
      <c r="T1193" s="79"/>
      <c r="U1193" s="79"/>
      <c r="AT1193" t="s">
        <v>408</v>
      </c>
      <c r="AU1193" s="93">
        <v>1176</v>
      </c>
      <c r="AV1193" t="s">
        <v>111</v>
      </c>
    </row>
    <row r="1194" spans="20:48">
      <c r="T1194" s="79"/>
      <c r="U1194" s="79"/>
      <c r="AT1194" t="s">
        <v>409</v>
      </c>
      <c r="AU1194" s="93">
        <v>1177</v>
      </c>
      <c r="AV1194" t="s">
        <v>150</v>
      </c>
    </row>
    <row r="1195" spans="20:48">
      <c r="T1195" s="79"/>
      <c r="U1195" s="79"/>
      <c r="AT1195" t="s">
        <v>410</v>
      </c>
      <c r="AU1195" s="93">
        <v>1178</v>
      </c>
      <c r="AV1195" t="s">
        <v>411</v>
      </c>
    </row>
    <row r="1196" spans="20:48">
      <c r="T1196" s="79"/>
      <c r="U1196" s="79"/>
      <c r="AT1196" t="s">
        <v>412</v>
      </c>
      <c r="AU1196" s="93">
        <v>1179</v>
      </c>
      <c r="AV1196" t="s">
        <v>111</v>
      </c>
    </row>
    <row r="1197" spans="20:48">
      <c r="T1197" s="79"/>
      <c r="U1197" s="79"/>
      <c r="AT1197" t="s">
        <v>413</v>
      </c>
      <c r="AU1197" s="93">
        <v>1180</v>
      </c>
      <c r="AV1197" t="s">
        <v>156</v>
      </c>
    </row>
    <row r="1198" spans="20:48">
      <c r="T1198" s="79"/>
      <c r="U1198" s="79"/>
      <c r="AT1198" t="s">
        <v>414</v>
      </c>
      <c r="AU1198" s="93">
        <v>1181</v>
      </c>
      <c r="AV1198" t="s">
        <v>114</v>
      </c>
    </row>
    <row r="1199" spans="20:48">
      <c r="T1199" s="79"/>
      <c r="U1199" s="79"/>
      <c r="AT1199" t="s">
        <v>415</v>
      </c>
      <c r="AU1199" s="93">
        <v>1182</v>
      </c>
      <c r="AV1199" t="s">
        <v>111</v>
      </c>
    </row>
    <row r="1200" spans="20:48">
      <c r="T1200" s="79"/>
      <c r="U1200" s="79"/>
      <c r="AT1200" t="s">
        <v>416</v>
      </c>
      <c r="AU1200" s="93">
        <v>1183</v>
      </c>
      <c r="AV1200" t="s">
        <v>117</v>
      </c>
    </row>
    <row r="1201" spans="20:48">
      <c r="T1201" s="79"/>
      <c r="U1201" s="79"/>
      <c r="AT1201" t="s">
        <v>417</v>
      </c>
      <c r="AU1201" s="93">
        <v>1184</v>
      </c>
      <c r="AV1201" t="s">
        <v>134</v>
      </c>
    </row>
    <row r="1202" spans="20:48">
      <c r="T1202" s="79"/>
      <c r="U1202" s="79"/>
      <c r="AT1202" t="s">
        <v>418</v>
      </c>
      <c r="AU1202" s="93">
        <v>1185</v>
      </c>
      <c r="AV1202" t="s">
        <v>143</v>
      </c>
    </row>
    <row r="1203" spans="20:48">
      <c r="T1203" s="79"/>
      <c r="U1203" s="79"/>
      <c r="AT1203" t="s">
        <v>419</v>
      </c>
      <c r="AU1203" s="93">
        <v>1186</v>
      </c>
      <c r="AV1203" t="s">
        <v>111</v>
      </c>
    </row>
    <row r="1204" spans="20:48">
      <c r="T1204" s="79"/>
      <c r="U1204" s="79"/>
      <c r="AT1204" t="s">
        <v>420</v>
      </c>
      <c r="AU1204" s="93">
        <v>1187</v>
      </c>
      <c r="AV1204" t="s">
        <v>123</v>
      </c>
    </row>
    <row r="1205" spans="20:48">
      <c r="T1205" s="79"/>
      <c r="U1205" s="79"/>
      <c r="AT1205" t="s">
        <v>421</v>
      </c>
      <c r="AU1205" s="93">
        <v>1188</v>
      </c>
      <c r="AV1205" t="s">
        <v>132</v>
      </c>
    </row>
    <row r="1206" spans="20:48">
      <c r="T1206" s="79"/>
      <c r="U1206" s="79"/>
      <c r="AT1206" t="s">
        <v>422</v>
      </c>
      <c r="AU1206" s="93">
        <v>1189</v>
      </c>
      <c r="AV1206" t="s">
        <v>120</v>
      </c>
    </row>
    <row r="1207" spans="20:48">
      <c r="T1207" s="79"/>
      <c r="U1207" s="79"/>
      <c r="AT1207" t="s">
        <v>423</v>
      </c>
      <c r="AU1207" s="93">
        <v>1190</v>
      </c>
      <c r="AV1207" t="s">
        <v>115</v>
      </c>
    </row>
    <row r="1208" spans="20:48">
      <c r="T1208" s="79"/>
      <c r="U1208" s="79"/>
      <c r="AT1208" t="s">
        <v>424</v>
      </c>
      <c r="AU1208" s="93">
        <v>1191</v>
      </c>
      <c r="AV1208" t="s">
        <v>136</v>
      </c>
    </row>
    <row r="1209" spans="20:48">
      <c r="T1209" s="79"/>
      <c r="U1209" s="79"/>
      <c r="AT1209" t="s">
        <v>425</v>
      </c>
      <c r="AU1209" s="93">
        <v>1192</v>
      </c>
      <c r="AV1209" t="s">
        <v>117</v>
      </c>
    </row>
    <row r="1210" spans="20:48">
      <c r="T1210" s="79"/>
      <c r="U1210" s="79"/>
      <c r="AT1210" t="s">
        <v>426</v>
      </c>
      <c r="AU1210" s="93">
        <v>1193</v>
      </c>
      <c r="AV1210" t="s">
        <v>114</v>
      </c>
    </row>
    <row r="1211" spans="20:48">
      <c r="T1211" s="79"/>
      <c r="U1211" s="79"/>
      <c r="AT1211" t="s">
        <v>427</v>
      </c>
      <c r="AU1211" s="93">
        <v>1194</v>
      </c>
      <c r="AV1211" t="s">
        <v>132</v>
      </c>
    </row>
    <row r="1212" spans="20:48">
      <c r="T1212" s="79"/>
      <c r="U1212" s="79"/>
      <c r="AT1212" t="s">
        <v>428</v>
      </c>
      <c r="AU1212" s="93">
        <v>1195</v>
      </c>
      <c r="AV1212" t="s">
        <v>131</v>
      </c>
    </row>
    <row r="1213" spans="20:48">
      <c r="T1213" s="79"/>
      <c r="U1213" s="79"/>
      <c r="AT1213" t="s">
        <v>429</v>
      </c>
      <c r="AU1213" s="93">
        <v>1196</v>
      </c>
      <c r="AV1213" t="s">
        <v>118</v>
      </c>
    </row>
    <row r="1214" spans="20:48">
      <c r="T1214" s="79"/>
      <c r="U1214" s="79"/>
      <c r="AT1214" t="s">
        <v>430</v>
      </c>
      <c r="AU1214" s="93">
        <v>1197</v>
      </c>
      <c r="AV1214" t="s">
        <v>139</v>
      </c>
    </row>
    <row r="1215" spans="20:48">
      <c r="T1215" s="79"/>
      <c r="U1215" s="79"/>
      <c r="AT1215" t="s">
        <v>431</v>
      </c>
      <c r="AU1215" s="93">
        <v>1198</v>
      </c>
      <c r="AV1215" t="s">
        <v>115</v>
      </c>
    </row>
    <row r="1216" spans="20:48">
      <c r="T1216" s="79"/>
      <c r="U1216" s="79"/>
      <c r="AT1216" t="s">
        <v>432</v>
      </c>
      <c r="AU1216" s="93">
        <v>1199</v>
      </c>
      <c r="AV1216" t="s">
        <v>111</v>
      </c>
    </row>
    <row r="1217" spans="20:48">
      <c r="T1217" s="79"/>
      <c r="U1217" s="79"/>
      <c r="AT1217" t="s">
        <v>433</v>
      </c>
      <c r="AU1217" s="93">
        <v>1200</v>
      </c>
      <c r="AV1217" t="s">
        <v>411</v>
      </c>
    </row>
    <row r="1218" spans="20:48">
      <c r="T1218" s="79"/>
      <c r="U1218" s="79"/>
      <c r="AT1218" t="s">
        <v>434</v>
      </c>
      <c r="AU1218" s="93">
        <v>1201</v>
      </c>
      <c r="AV1218" t="s">
        <v>129</v>
      </c>
    </row>
    <row r="1219" spans="20:48">
      <c r="T1219" s="79"/>
      <c r="U1219" s="79"/>
      <c r="AT1219" t="s">
        <v>435</v>
      </c>
      <c r="AU1219" s="93">
        <v>1202</v>
      </c>
      <c r="AV1219" t="s">
        <v>123</v>
      </c>
    </row>
    <row r="1220" spans="20:48">
      <c r="T1220" s="79"/>
      <c r="U1220" s="79"/>
      <c r="AT1220" t="s">
        <v>436</v>
      </c>
      <c r="AU1220" s="93">
        <v>1203</v>
      </c>
      <c r="AV1220" t="s">
        <v>117</v>
      </c>
    </row>
    <row r="1221" spans="20:48">
      <c r="T1221" s="79"/>
      <c r="U1221" s="79"/>
      <c r="AT1221" t="s">
        <v>437</v>
      </c>
      <c r="AU1221" s="93">
        <v>1204</v>
      </c>
      <c r="AV1221" t="s">
        <v>114</v>
      </c>
    </row>
    <row r="1222" spans="20:48">
      <c r="T1222" s="79"/>
      <c r="U1222" s="79"/>
      <c r="AT1222" t="s">
        <v>438</v>
      </c>
      <c r="AU1222" s="93">
        <v>1205</v>
      </c>
      <c r="AV1222" t="s">
        <v>111</v>
      </c>
    </row>
    <row r="1223" spans="20:48">
      <c r="T1223" s="79"/>
      <c r="U1223" s="79"/>
      <c r="AT1223" t="s">
        <v>439</v>
      </c>
      <c r="AU1223" s="93">
        <v>1206</v>
      </c>
      <c r="AV1223" t="s">
        <v>111</v>
      </c>
    </row>
    <row r="1224" spans="20:48">
      <c r="T1224" s="79"/>
      <c r="U1224" s="79"/>
      <c r="AT1224" t="s">
        <v>440</v>
      </c>
      <c r="AU1224" s="93">
        <v>1207</v>
      </c>
      <c r="AV1224" t="s">
        <v>122</v>
      </c>
    </row>
    <row r="1225" spans="20:48">
      <c r="T1225" s="79"/>
      <c r="U1225" s="79"/>
      <c r="AT1225" t="s">
        <v>441</v>
      </c>
      <c r="AU1225" s="93">
        <v>1208</v>
      </c>
      <c r="AV1225" t="s">
        <v>111</v>
      </c>
    </row>
    <row r="1226" spans="20:48">
      <c r="T1226" s="79"/>
      <c r="U1226" s="79"/>
      <c r="AT1226" t="s">
        <v>442</v>
      </c>
      <c r="AU1226" s="93">
        <v>1209</v>
      </c>
      <c r="AV1226" t="s">
        <v>152</v>
      </c>
    </row>
    <row r="1227" spans="20:48">
      <c r="T1227" s="79"/>
      <c r="U1227" s="79"/>
      <c r="AT1227" t="s">
        <v>443</v>
      </c>
      <c r="AU1227" s="93">
        <v>1210</v>
      </c>
      <c r="AV1227" t="s">
        <v>132</v>
      </c>
    </row>
    <row r="1228" spans="20:48">
      <c r="T1228" s="79"/>
      <c r="U1228" s="79"/>
      <c r="AT1228" t="s">
        <v>444</v>
      </c>
      <c r="AU1228" s="93">
        <v>1211</v>
      </c>
      <c r="AV1228" t="s">
        <v>150</v>
      </c>
    </row>
    <row r="1229" spans="20:48">
      <c r="T1229" s="79"/>
      <c r="U1229" s="79"/>
      <c r="AT1229" t="s">
        <v>445</v>
      </c>
      <c r="AU1229" s="93">
        <v>1212</v>
      </c>
      <c r="AV1229" t="s">
        <v>123</v>
      </c>
    </row>
    <row r="1230" spans="20:48">
      <c r="T1230" s="79"/>
      <c r="U1230" s="79"/>
      <c r="AT1230" t="s">
        <v>446</v>
      </c>
      <c r="AU1230" s="93">
        <v>1213</v>
      </c>
      <c r="AV1230" t="s">
        <v>111</v>
      </c>
    </row>
    <row r="1231" spans="20:48">
      <c r="T1231" s="79"/>
      <c r="U1231" s="79"/>
      <c r="AT1231" t="s">
        <v>447</v>
      </c>
      <c r="AU1231" s="93">
        <v>1214</v>
      </c>
      <c r="AV1231" t="s">
        <v>142</v>
      </c>
    </row>
    <row r="1232" spans="20:48">
      <c r="T1232" s="79"/>
      <c r="U1232" s="79"/>
      <c r="AT1232" t="s">
        <v>448</v>
      </c>
      <c r="AU1232" s="93">
        <v>1215</v>
      </c>
      <c r="AV1232" t="s">
        <v>113</v>
      </c>
    </row>
    <row r="1233" spans="20:48">
      <c r="T1233" s="79"/>
      <c r="U1233" s="79"/>
      <c r="AT1233" t="s">
        <v>449</v>
      </c>
      <c r="AU1233" s="93">
        <v>1216</v>
      </c>
      <c r="AV1233" t="s">
        <v>111</v>
      </c>
    </row>
    <row r="1234" spans="20:48">
      <c r="T1234" s="79"/>
      <c r="U1234" s="79"/>
      <c r="AT1234" t="s">
        <v>450</v>
      </c>
      <c r="AU1234" s="93">
        <v>1217</v>
      </c>
      <c r="AV1234" t="s">
        <v>147</v>
      </c>
    </row>
    <row r="1235" spans="20:48">
      <c r="T1235" s="79"/>
      <c r="U1235" s="79"/>
      <c r="AT1235" t="s">
        <v>451</v>
      </c>
      <c r="AU1235" s="93">
        <v>1218</v>
      </c>
      <c r="AV1235" t="s">
        <v>111</v>
      </c>
    </row>
    <row r="1236" spans="20:48">
      <c r="T1236" s="79"/>
      <c r="U1236" s="79"/>
      <c r="AT1236" t="s">
        <v>452</v>
      </c>
      <c r="AU1236" s="93">
        <v>1219</v>
      </c>
      <c r="AV1236" t="s">
        <v>134</v>
      </c>
    </row>
    <row r="1237" spans="20:48">
      <c r="T1237" s="79"/>
      <c r="U1237" s="79"/>
      <c r="AT1237" t="s">
        <v>453</v>
      </c>
      <c r="AU1237" s="93">
        <v>1220</v>
      </c>
      <c r="AV1237" t="s">
        <v>120</v>
      </c>
    </row>
    <row r="1238" spans="20:48">
      <c r="T1238" s="79"/>
      <c r="U1238" s="79"/>
      <c r="AT1238" t="s">
        <v>454</v>
      </c>
      <c r="AU1238" s="93">
        <v>1221</v>
      </c>
      <c r="AV1238" t="s">
        <v>114</v>
      </c>
    </row>
    <row r="1239" spans="20:48">
      <c r="T1239" s="79"/>
      <c r="U1239" s="79"/>
      <c r="AT1239" t="s">
        <v>455</v>
      </c>
      <c r="AU1239" s="93">
        <v>1222</v>
      </c>
      <c r="AV1239" t="s">
        <v>120</v>
      </c>
    </row>
    <row r="1240" spans="20:48">
      <c r="T1240" s="79"/>
      <c r="U1240" s="79"/>
      <c r="AT1240" t="s">
        <v>456</v>
      </c>
      <c r="AU1240" s="93">
        <v>1223</v>
      </c>
      <c r="AV1240" t="s">
        <v>145</v>
      </c>
    </row>
    <row r="1241" spans="20:48">
      <c r="T1241" s="79"/>
      <c r="U1241" s="79"/>
      <c r="AT1241" t="s">
        <v>457</v>
      </c>
      <c r="AU1241" s="93">
        <v>1224</v>
      </c>
      <c r="AV1241" t="s">
        <v>131</v>
      </c>
    </row>
    <row r="1242" spans="20:48">
      <c r="T1242" s="79"/>
      <c r="U1242" s="79"/>
      <c r="AT1242" t="s">
        <v>458</v>
      </c>
      <c r="AU1242" s="93">
        <v>1225</v>
      </c>
      <c r="AV1242" t="s">
        <v>134</v>
      </c>
    </row>
    <row r="1243" spans="20:48">
      <c r="T1243" s="79"/>
      <c r="U1243" s="79"/>
      <c r="AT1243" t="s">
        <v>459</v>
      </c>
      <c r="AU1243" s="93">
        <v>1226</v>
      </c>
      <c r="AV1243" t="s">
        <v>132</v>
      </c>
    </row>
    <row r="1244" spans="20:48">
      <c r="T1244" s="79"/>
      <c r="U1244" s="79"/>
      <c r="AT1244" t="s">
        <v>460</v>
      </c>
      <c r="AU1244" s="93">
        <v>1227</v>
      </c>
      <c r="AV1244" t="s">
        <v>111</v>
      </c>
    </row>
    <row r="1245" spans="20:48">
      <c r="T1245" s="79"/>
      <c r="U1245" s="79"/>
      <c r="AT1245" t="s">
        <v>461</v>
      </c>
      <c r="AU1245" s="93">
        <v>1228</v>
      </c>
      <c r="AV1245" t="s">
        <v>150</v>
      </c>
    </row>
    <row r="1246" spans="20:48">
      <c r="T1246" s="79"/>
      <c r="U1246" s="79"/>
      <c r="AT1246" t="s">
        <v>462</v>
      </c>
      <c r="AU1246" s="93">
        <v>1229</v>
      </c>
      <c r="AV1246" t="s">
        <v>129</v>
      </c>
    </row>
    <row r="1247" spans="20:48">
      <c r="T1247" s="79"/>
      <c r="U1247" s="79"/>
      <c r="AT1247" t="s">
        <v>463</v>
      </c>
      <c r="AU1247" s="93">
        <v>1230</v>
      </c>
      <c r="AV1247" t="s">
        <v>111</v>
      </c>
    </row>
    <row r="1248" spans="20:48">
      <c r="T1248" s="79"/>
      <c r="U1248" s="79"/>
      <c r="AT1248" t="s">
        <v>464</v>
      </c>
      <c r="AU1248" s="93">
        <v>1231</v>
      </c>
      <c r="AV1248" t="s">
        <v>129</v>
      </c>
    </row>
    <row r="1249" spans="20:48">
      <c r="T1249" s="79"/>
      <c r="U1249" s="79"/>
      <c r="AT1249" t="s">
        <v>465</v>
      </c>
      <c r="AU1249" s="93">
        <v>1232</v>
      </c>
      <c r="AV1249" t="s">
        <v>136</v>
      </c>
    </row>
    <row r="1250" spans="20:48">
      <c r="T1250" s="79"/>
      <c r="U1250" s="79"/>
      <c r="AT1250" t="s">
        <v>466</v>
      </c>
      <c r="AU1250" s="93">
        <v>1233</v>
      </c>
      <c r="AV1250" t="s">
        <v>123</v>
      </c>
    </row>
    <row r="1251" spans="20:48">
      <c r="T1251" s="79"/>
      <c r="U1251" s="79"/>
      <c r="AT1251" t="s">
        <v>467</v>
      </c>
      <c r="AU1251" s="93">
        <v>1234</v>
      </c>
      <c r="AV1251" t="s">
        <v>123</v>
      </c>
    </row>
    <row r="1252" spans="20:48">
      <c r="T1252" s="79"/>
      <c r="U1252" s="79"/>
      <c r="AT1252" t="s">
        <v>468</v>
      </c>
      <c r="AU1252" s="93">
        <v>1235</v>
      </c>
      <c r="AV1252" t="s">
        <v>132</v>
      </c>
    </row>
    <row r="1253" spans="20:48">
      <c r="T1253" s="79"/>
      <c r="U1253" s="79"/>
      <c r="AT1253" t="s">
        <v>469</v>
      </c>
      <c r="AU1253" s="93">
        <v>1236</v>
      </c>
      <c r="AV1253" t="s">
        <v>131</v>
      </c>
    </row>
    <row r="1254" spans="20:48">
      <c r="T1254" s="79"/>
      <c r="U1254" s="79"/>
      <c r="AT1254" t="s">
        <v>470</v>
      </c>
      <c r="AU1254" s="93">
        <v>1237</v>
      </c>
      <c r="AV1254" t="s">
        <v>111</v>
      </c>
    </row>
    <row r="1255" spans="20:48">
      <c r="T1255" s="79"/>
      <c r="U1255" s="79"/>
      <c r="AT1255" t="s">
        <v>471</v>
      </c>
      <c r="AU1255" s="93">
        <v>1238</v>
      </c>
      <c r="AV1255" t="s">
        <v>131</v>
      </c>
    </row>
    <row r="1256" spans="20:48">
      <c r="T1256" s="79"/>
      <c r="U1256" s="79"/>
      <c r="AT1256" t="s">
        <v>472</v>
      </c>
      <c r="AU1256" s="93">
        <v>1239</v>
      </c>
      <c r="AV1256" t="s">
        <v>132</v>
      </c>
    </row>
    <row r="1257" spans="20:48">
      <c r="T1257" s="79"/>
      <c r="U1257" s="79"/>
      <c r="AT1257" t="s">
        <v>473</v>
      </c>
      <c r="AU1257" s="93">
        <v>1240</v>
      </c>
      <c r="AV1257" t="s">
        <v>120</v>
      </c>
    </row>
    <row r="1258" spans="20:48">
      <c r="T1258" s="79"/>
      <c r="U1258" s="79"/>
      <c r="AT1258" t="s">
        <v>474</v>
      </c>
      <c r="AU1258" s="93">
        <v>1241</v>
      </c>
      <c r="AV1258" t="s">
        <v>134</v>
      </c>
    </row>
    <row r="1259" spans="20:48">
      <c r="T1259" s="79"/>
      <c r="U1259" s="79"/>
      <c r="AT1259" t="s">
        <v>475</v>
      </c>
      <c r="AU1259" s="93">
        <v>1242</v>
      </c>
      <c r="AV1259" t="s">
        <v>128</v>
      </c>
    </row>
    <row r="1260" spans="20:48">
      <c r="T1260" s="79"/>
      <c r="U1260" s="79"/>
      <c r="AT1260" t="s">
        <v>476</v>
      </c>
      <c r="AU1260" s="93">
        <v>1243</v>
      </c>
      <c r="AV1260" t="s">
        <v>140</v>
      </c>
    </row>
    <row r="1261" spans="20:48">
      <c r="T1261" s="79"/>
      <c r="U1261" s="79"/>
      <c r="AT1261" t="s">
        <v>477</v>
      </c>
      <c r="AU1261" s="93">
        <v>1244</v>
      </c>
      <c r="AV1261" t="s">
        <v>150</v>
      </c>
    </row>
    <row r="1262" spans="20:48">
      <c r="T1262" s="79"/>
      <c r="U1262" s="79"/>
      <c r="AT1262" t="s">
        <v>478</v>
      </c>
      <c r="AU1262" s="93">
        <v>1245</v>
      </c>
      <c r="AV1262" t="s">
        <v>136</v>
      </c>
    </row>
    <row r="1263" spans="20:48">
      <c r="T1263" s="79"/>
      <c r="U1263" s="79"/>
      <c r="AT1263" t="s">
        <v>479</v>
      </c>
      <c r="AU1263" s="93">
        <v>1246</v>
      </c>
      <c r="AV1263" t="s">
        <v>118</v>
      </c>
    </row>
    <row r="1264" spans="20:48">
      <c r="T1264" s="79"/>
      <c r="U1264" s="79"/>
      <c r="AT1264" t="s">
        <v>480</v>
      </c>
      <c r="AU1264" s="93">
        <v>1247</v>
      </c>
      <c r="AV1264" t="s">
        <v>132</v>
      </c>
    </row>
    <row r="1265" spans="20:48">
      <c r="T1265" s="79"/>
      <c r="U1265" s="79"/>
      <c r="AT1265" t="s">
        <v>481</v>
      </c>
      <c r="AU1265" s="93">
        <v>1248</v>
      </c>
      <c r="AV1265" t="s">
        <v>111</v>
      </c>
    </row>
    <row r="1266" spans="20:48">
      <c r="T1266" s="79"/>
      <c r="U1266" s="79"/>
      <c r="AT1266" t="s">
        <v>482</v>
      </c>
      <c r="AU1266" s="93">
        <v>1249</v>
      </c>
      <c r="AV1266" t="s">
        <v>120</v>
      </c>
    </row>
    <row r="1267" spans="20:48">
      <c r="T1267" s="79"/>
      <c r="U1267" s="79"/>
      <c r="AT1267" t="s">
        <v>483</v>
      </c>
      <c r="AU1267" s="93">
        <v>1250</v>
      </c>
      <c r="AV1267" t="s">
        <v>118</v>
      </c>
    </row>
    <row r="1268" spans="20:48">
      <c r="T1268" s="79"/>
      <c r="U1268" s="79"/>
      <c r="AT1268" t="s">
        <v>484</v>
      </c>
      <c r="AU1268" s="93">
        <v>1251</v>
      </c>
      <c r="AV1268" t="s">
        <v>138</v>
      </c>
    </row>
    <row r="1269" spans="20:48">
      <c r="T1269" s="79"/>
      <c r="U1269" s="79"/>
      <c r="AT1269" t="s">
        <v>485</v>
      </c>
      <c r="AU1269" s="93">
        <v>1252</v>
      </c>
      <c r="AV1269" t="s">
        <v>132</v>
      </c>
    </row>
    <row r="1270" spans="20:48">
      <c r="T1270" s="79"/>
      <c r="U1270" s="79"/>
      <c r="AT1270" t="s">
        <v>486</v>
      </c>
      <c r="AU1270" s="93">
        <v>1253</v>
      </c>
      <c r="AV1270" t="s">
        <v>111</v>
      </c>
    </row>
    <row r="1271" spans="20:48">
      <c r="T1271" s="79"/>
      <c r="U1271" s="79"/>
      <c r="AT1271" t="s">
        <v>487</v>
      </c>
      <c r="AU1271" s="93">
        <v>1254</v>
      </c>
      <c r="AV1271" t="s">
        <v>132</v>
      </c>
    </row>
    <row r="1272" spans="20:48">
      <c r="T1272" s="79"/>
      <c r="U1272" s="79"/>
      <c r="AT1272" t="s">
        <v>488</v>
      </c>
      <c r="AU1272" s="93">
        <v>1255</v>
      </c>
      <c r="AV1272" t="s">
        <v>136</v>
      </c>
    </row>
    <row r="1273" spans="20:48">
      <c r="T1273" s="79"/>
      <c r="U1273" s="79"/>
      <c r="AT1273" t="s">
        <v>489</v>
      </c>
      <c r="AU1273" s="93">
        <v>1256</v>
      </c>
      <c r="AV1273" t="s">
        <v>123</v>
      </c>
    </row>
    <row r="1274" spans="20:48">
      <c r="T1274" s="79"/>
      <c r="U1274" s="79"/>
      <c r="AT1274" t="s">
        <v>490</v>
      </c>
      <c r="AU1274" s="93">
        <v>1257</v>
      </c>
      <c r="AV1274" t="s">
        <v>136</v>
      </c>
    </row>
    <row r="1275" spans="20:48">
      <c r="T1275" s="79"/>
      <c r="U1275" s="79"/>
      <c r="AT1275" t="s">
        <v>491</v>
      </c>
      <c r="AU1275" s="93">
        <v>1258</v>
      </c>
      <c r="AV1275" t="s">
        <v>129</v>
      </c>
    </row>
    <row r="1276" spans="20:48">
      <c r="T1276" s="79"/>
      <c r="U1276" s="79"/>
      <c r="AT1276" t="s">
        <v>492</v>
      </c>
      <c r="AU1276" s="93">
        <v>1259</v>
      </c>
      <c r="AV1276" t="s">
        <v>154</v>
      </c>
    </row>
    <row r="1277" spans="20:48">
      <c r="T1277" s="79"/>
      <c r="U1277" s="79"/>
      <c r="AT1277" t="s">
        <v>493</v>
      </c>
      <c r="AU1277" s="93">
        <v>1260</v>
      </c>
      <c r="AV1277" t="s">
        <v>129</v>
      </c>
    </row>
    <row r="1278" spans="20:48">
      <c r="T1278" s="79"/>
      <c r="U1278" s="79"/>
      <c r="AT1278" t="s">
        <v>494</v>
      </c>
      <c r="AU1278" s="93">
        <v>1261</v>
      </c>
      <c r="AV1278" t="s">
        <v>113</v>
      </c>
    </row>
    <row r="1279" spans="20:48">
      <c r="T1279" s="79"/>
      <c r="U1279" s="79"/>
      <c r="AT1279" t="s">
        <v>495</v>
      </c>
      <c r="AU1279" s="93">
        <v>1262</v>
      </c>
      <c r="AV1279" t="s">
        <v>123</v>
      </c>
    </row>
    <row r="1280" spans="20:48">
      <c r="T1280" s="79"/>
      <c r="U1280" s="79"/>
      <c r="AT1280" t="s">
        <v>496</v>
      </c>
      <c r="AU1280" s="93">
        <v>1263</v>
      </c>
      <c r="AV1280" t="s">
        <v>114</v>
      </c>
    </row>
    <row r="1281" spans="20:48">
      <c r="T1281" s="79"/>
      <c r="U1281" s="79"/>
      <c r="AT1281" t="s">
        <v>497</v>
      </c>
      <c r="AU1281" s="93">
        <v>1264</v>
      </c>
      <c r="AV1281" t="s">
        <v>120</v>
      </c>
    </row>
    <row r="1282" spans="20:48">
      <c r="T1282" s="79"/>
      <c r="U1282" s="79"/>
      <c r="AT1282" t="s">
        <v>498</v>
      </c>
      <c r="AU1282" s="93">
        <v>1265</v>
      </c>
      <c r="AV1282" t="s">
        <v>114</v>
      </c>
    </row>
    <row r="1283" spans="20:48">
      <c r="T1283" s="79"/>
      <c r="U1283" s="79"/>
      <c r="AT1283" t="s">
        <v>499</v>
      </c>
      <c r="AU1283" s="93">
        <v>1266</v>
      </c>
      <c r="AV1283" t="s">
        <v>123</v>
      </c>
    </row>
    <row r="1284" spans="20:48">
      <c r="T1284" s="79"/>
      <c r="U1284" s="79"/>
      <c r="AT1284" t="s">
        <v>500</v>
      </c>
      <c r="AU1284" s="93">
        <v>1267</v>
      </c>
      <c r="AV1284" t="s">
        <v>151</v>
      </c>
    </row>
    <row r="1285" spans="20:48">
      <c r="T1285" s="79"/>
      <c r="U1285" s="79"/>
      <c r="AT1285" t="s">
        <v>501</v>
      </c>
      <c r="AU1285" s="93">
        <v>1268</v>
      </c>
      <c r="AV1285" t="s">
        <v>114</v>
      </c>
    </row>
    <row r="1286" spans="20:48">
      <c r="T1286" s="79"/>
      <c r="U1286" s="79"/>
      <c r="AT1286" t="s">
        <v>502</v>
      </c>
      <c r="AU1286" s="93">
        <v>1269</v>
      </c>
      <c r="AV1286" t="s">
        <v>111</v>
      </c>
    </row>
    <row r="1287" spans="20:48">
      <c r="T1287" s="79"/>
      <c r="U1287" s="79"/>
      <c r="AT1287" t="s">
        <v>503</v>
      </c>
      <c r="AU1287" s="93">
        <v>1270</v>
      </c>
      <c r="AV1287" t="s">
        <v>123</v>
      </c>
    </row>
    <row r="1288" spans="20:48">
      <c r="T1288" s="79"/>
      <c r="U1288" s="79"/>
      <c r="AT1288" t="s">
        <v>504</v>
      </c>
      <c r="AU1288" s="93">
        <v>1271</v>
      </c>
      <c r="AV1288" t="s">
        <v>120</v>
      </c>
    </row>
    <row r="1289" spans="20:48">
      <c r="T1289" s="79"/>
      <c r="U1289" s="79"/>
      <c r="AT1289" t="s">
        <v>505</v>
      </c>
      <c r="AU1289" s="93">
        <v>1272</v>
      </c>
      <c r="AV1289" t="s">
        <v>123</v>
      </c>
    </row>
    <row r="1290" spans="20:48">
      <c r="T1290" s="79"/>
      <c r="U1290" s="79"/>
      <c r="AT1290" t="s">
        <v>506</v>
      </c>
      <c r="AU1290" s="93">
        <v>1273</v>
      </c>
      <c r="AV1290" t="s">
        <v>111</v>
      </c>
    </row>
    <row r="1291" spans="20:48">
      <c r="T1291" s="79"/>
      <c r="U1291" s="79"/>
      <c r="AT1291" t="s">
        <v>507</v>
      </c>
      <c r="AU1291" s="93">
        <v>1274</v>
      </c>
      <c r="AV1291" t="s">
        <v>117</v>
      </c>
    </row>
    <row r="1292" spans="20:48">
      <c r="T1292" s="79"/>
      <c r="U1292" s="79"/>
      <c r="AT1292" t="s">
        <v>508</v>
      </c>
      <c r="AU1292" s="93">
        <v>1275</v>
      </c>
      <c r="AV1292" t="s">
        <v>111</v>
      </c>
    </row>
    <row r="1293" spans="20:48">
      <c r="T1293" s="79"/>
      <c r="U1293" s="79"/>
      <c r="AT1293" t="s">
        <v>509</v>
      </c>
      <c r="AU1293" s="93">
        <v>1276</v>
      </c>
      <c r="AV1293" t="s">
        <v>111</v>
      </c>
    </row>
    <row r="1294" spans="20:48">
      <c r="T1294" s="79"/>
      <c r="U1294" s="79"/>
      <c r="AT1294" t="s">
        <v>510</v>
      </c>
      <c r="AU1294" s="93">
        <v>1277</v>
      </c>
      <c r="AV1294" t="s">
        <v>111</v>
      </c>
    </row>
    <row r="1295" spans="20:48">
      <c r="T1295" s="79"/>
      <c r="U1295" s="79"/>
      <c r="AT1295" t="s">
        <v>511</v>
      </c>
      <c r="AU1295" s="93">
        <v>1278</v>
      </c>
      <c r="AV1295" t="s">
        <v>117</v>
      </c>
    </row>
    <row r="1296" spans="20:48">
      <c r="T1296" s="79"/>
      <c r="U1296" s="79"/>
      <c r="AT1296" t="s">
        <v>512</v>
      </c>
      <c r="AU1296" s="93">
        <v>1279</v>
      </c>
      <c r="AV1296" t="s">
        <v>117</v>
      </c>
    </row>
    <row r="1297" spans="20:48">
      <c r="T1297" s="79"/>
      <c r="U1297" s="79"/>
      <c r="AT1297" t="s">
        <v>513</v>
      </c>
      <c r="AU1297" s="93">
        <v>1280</v>
      </c>
      <c r="AV1297" t="s">
        <v>120</v>
      </c>
    </row>
    <row r="1298" spans="20:48">
      <c r="T1298" s="79"/>
      <c r="U1298" s="79"/>
      <c r="AT1298" t="s">
        <v>514</v>
      </c>
      <c r="AU1298" s="93">
        <v>1281</v>
      </c>
      <c r="AV1298" t="s">
        <v>113</v>
      </c>
    </row>
    <row r="1299" spans="20:48">
      <c r="T1299" s="79"/>
      <c r="U1299" s="79"/>
      <c r="AT1299" t="s">
        <v>515</v>
      </c>
      <c r="AU1299" s="93">
        <v>1282</v>
      </c>
      <c r="AV1299" t="s">
        <v>111</v>
      </c>
    </row>
    <row r="1300" spans="20:48">
      <c r="T1300" s="79"/>
      <c r="U1300" s="79"/>
      <c r="AT1300" t="s">
        <v>516</v>
      </c>
      <c r="AU1300" s="93">
        <v>1283</v>
      </c>
      <c r="AV1300" t="s">
        <v>150</v>
      </c>
    </row>
    <row r="1301" spans="20:48">
      <c r="T1301" s="79"/>
      <c r="U1301" s="79"/>
      <c r="AT1301" t="s">
        <v>517</v>
      </c>
      <c r="AU1301" s="93">
        <v>1284</v>
      </c>
      <c r="AV1301" t="s">
        <v>120</v>
      </c>
    </row>
    <row r="1302" spans="20:48">
      <c r="T1302" s="79"/>
      <c r="U1302" s="79"/>
      <c r="AT1302" t="s">
        <v>518</v>
      </c>
      <c r="AU1302" s="93">
        <v>1285</v>
      </c>
      <c r="AV1302" t="s">
        <v>158</v>
      </c>
    </row>
    <row r="1303" spans="20:48">
      <c r="T1303" s="79"/>
      <c r="U1303" s="79"/>
      <c r="AT1303" t="s">
        <v>519</v>
      </c>
      <c r="AU1303" s="93">
        <v>1286</v>
      </c>
      <c r="AV1303" t="s">
        <v>123</v>
      </c>
    </row>
    <row r="1304" spans="20:48">
      <c r="T1304" s="79"/>
      <c r="U1304" s="79"/>
      <c r="AT1304" t="s">
        <v>520</v>
      </c>
      <c r="AU1304" s="93">
        <v>1287</v>
      </c>
      <c r="AV1304" t="s">
        <v>117</v>
      </c>
    </row>
    <row r="1305" spans="20:48">
      <c r="T1305" s="79"/>
      <c r="U1305" s="79"/>
      <c r="AT1305" t="s">
        <v>521</v>
      </c>
      <c r="AU1305" s="93">
        <v>1288</v>
      </c>
      <c r="AV1305" t="s">
        <v>124</v>
      </c>
    </row>
    <row r="1306" spans="20:48">
      <c r="T1306" s="79"/>
      <c r="U1306" s="79"/>
      <c r="AT1306" t="s">
        <v>522</v>
      </c>
      <c r="AU1306" s="93">
        <v>1289</v>
      </c>
      <c r="AV1306" t="s">
        <v>114</v>
      </c>
    </row>
    <row r="1307" spans="20:48">
      <c r="T1307" s="79"/>
      <c r="U1307" s="79"/>
      <c r="AT1307" t="s">
        <v>523</v>
      </c>
      <c r="AU1307" s="93">
        <v>1290</v>
      </c>
      <c r="AV1307" t="s">
        <v>132</v>
      </c>
    </row>
    <row r="1308" spans="20:48">
      <c r="T1308" s="79"/>
      <c r="U1308" s="79"/>
      <c r="AT1308" t="s">
        <v>524</v>
      </c>
      <c r="AU1308" s="93">
        <v>1291</v>
      </c>
      <c r="AV1308" t="s">
        <v>111</v>
      </c>
    </row>
    <row r="1309" spans="20:48">
      <c r="T1309" s="79"/>
      <c r="U1309" s="79"/>
      <c r="AT1309" t="s">
        <v>525</v>
      </c>
      <c r="AU1309" s="93">
        <v>1292</v>
      </c>
      <c r="AV1309" t="s">
        <v>145</v>
      </c>
    </row>
    <row r="1310" spans="20:48">
      <c r="T1310" s="79"/>
      <c r="U1310" s="79"/>
      <c r="AT1310" t="s">
        <v>526</v>
      </c>
      <c r="AU1310" s="93">
        <v>1293</v>
      </c>
      <c r="AV1310" t="s">
        <v>145</v>
      </c>
    </row>
    <row r="1311" spans="20:48">
      <c r="T1311" s="79"/>
      <c r="U1311" s="79"/>
      <c r="AT1311" t="s">
        <v>527</v>
      </c>
      <c r="AU1311" s="93">
        <v>1294</v>
      </c>
      <c r="AV1311" t="s">
        <v>111</v>
      </c>
    </row>
    <row r="1312" spans="20:48">
      <c r="T1312" s="79"/>
      <c r="U1312" s="79"/>
      <c r="AT1312" t="s">
        <v>528</v>
      </c>
      <c r="AU1312" s="93">
        <v>1295</v>
      </c>
      <c r="AV1312" t="s">
        <v>111</v>
      </c>
    </row>
    <row r="1313" spans="20:48">
      <c r="T1313" s="79"/>
      <c r="U1313" s="79"/>
      <c r="AT1313" t="s">
        <v>529</v>
      </c>
      <c r="AU1313" s="93">
        <v>1296</v>
      </c>
      <c r="AV1313" t="s">
        <v>114</v>
      </c>
    </row>
    <row r="1314" spans="20:48">
      <c r="T1314" s="79"/>
      <c r="U1314" s="79"/>
      <c r="AT1314" t="s">
        <v>530</v>
      </c>
      <c r="AU1314" s="93">
        <v>1297</v>
      </c>
      <c r="AV1314" t="s">
        <v>120</v>
      </c>
    </row>
    <row r="1315" spans="20:48">
      <c r="T1315" s="79"/>
      <c r="U1315" s="79"/>
      <c r="AT1315" t="s">
        <v>531</v>
      </c>
      <c r="AU1315" s="93">
        <v>1298</v>
      </c>
      <c r="AV1315" t="s">
        <v>140</v>
      </c>
    </row>
    <row r="1316" spans="20:48">
      <c r="T1316" s="79"/>
      <c r="U1316" s="79"/>
      <c r="AT1316" t="s">
        <v>532</v>
      </c>
      <c r="AU1316" s="93">
        <v>1299</v>
      </c>
      <c r="AV1316" t="s">
        <v>117</v>
      </c>
    </row>
    <row r="1317" spans="20:48">
      <c r="T1317" s="79"/>
      <c r="U1317" s="79"/>
      <c r="AT1317" t="s">
        <v>533</v>
      </c>
      <c r="AU1317" s="93">
        <v>1300</v>
      </c>
      <c r="AV1317" t="s">
        <v>111</v>
      </c>
    </row>
    <row r="1318" spans="20:48">
      <c r="T1318" s="79"/>
      <c r="U1318" s="79"/>
      <c r="AT1318" t="s">
        <v>534</v>
      </c>
      <c r="AU1318" s="93">
        <v>1301</v>
      </c>
      <c r="AV1318" t="s">
        <v>121</v>
      </c>
    </row>
    <row r="1319" spans="20:48">
      <c r="T1319" s="79"/>
      <c r="U1319" s="79"/>
      <c r="AT1319" t="s">
        <v>535</v>
      </c>
      <c r="AU1319" s="93">
        <v>1302</v>
      </c>
      <c r="AV1319" t="s">
        <v>150</v>
      </c>
    </row>
    <row r="1320" spans="20:48">
      <c r="T1320" s="79"/>
      <c r="U1320" s="79"/>
      <c r="AT1320" t="s">
        <v>536</v>
      </c>
      <c r="AU1320" s="93">
        <v>1303</v>
      </c>
      <c r="AV1320" t="s">
        <v>150</v>
      </c>
    </row>
    <row r="1321" spans="20:48">
      <c r="T1321" s="79"/>
      <c r="U1321" s="79"/>
      <c r="AT1321" t="s">
        <v>537</v>
      </c>
      <c r="AU1321" s="93">
        <v>1304</v>
      </c>
      <c r="AV1321" t="s">
        <v>139</v>
      </c>
    </row>
    <row r="1322" spans="20:48">
      <c r="T1322" s="79"/>
      <c r="U1322" s="79"/>
      <c r="AT1322" t="s">
        <v>538</v>
      </c>
      <c r="AU1322" s="93">
        <v>1305</v>
      </c>
      <c r="AV1322" t="s">
        <v>120</v>
      </c>
    </row>
    <row r="1323" spans="20:48">
      <c r="T1323" s="79"/>
      <c r="U1323" s="79"/>
      <c r="AT1323" t="s">
        <v>539</v>
      </c>
      <c r="AU1323" s="93">
        <v>1306</v>
      </c>
      <c r="AV1323" t="s">
        <v>147</v>
      </c>
    </row>
    <row r="1324" spans="20:48">
      <c r="T1324" s="79"/>
      <c r="U1324" s="79"/>
      <c r="AT1324" t="s">
        <v>540</v>
      </c>
      <c r="AU1324" s="93">
        <v>1307</v>
      </c>
      <c r="AV1324" t="s">
        <v>114</v>
      </c>
    </row>
    <row r="1325" spans="20:48">
      <c r="T1325" s="79"/>
      <c r="U1325" s="79"/>
      <c r="AT1325" t="s">
        <v>541</v>
      </c>
      <c r="AU1325" s="93">
        <v>1308</v>
      </c>
      <c r="AV1325" t="s">
        <v>123</v>
      </c>
    </row>
    <row r="1326" spans="20:48">
      <c r="T1326" s="79"/>
      <c r="U1326" s="79"/>
      <c r="AT1326" t="s">
        <v>542</v>
      </c>
      <c r="AU1326" s="93">
        <v>1309</v>
      </c>
      <c r="AV1326" t="s">
        <v>111</v>
      </c>
    </row>
    <row r="1327" spans="20:48">
      <c r="T1327" s="79"/>
      <c r="U1327" s="79"/>
      <c r="AT1327" t="s">
        <v>543</v>
      </c>
      <c r="AU1327" s="93">
        <v>1310</v>
      </c>
      <c r="AV1327" t="s">
        <v>144</v>
      </c>
    </row>
    <row r="1328" spans="20:48">
      <c r="T1328" s="79"/>
      <c r="U1328" s="79"/>
      <c r="AT1328" t="s">
        <v>544</v>
      </c>
      <c r="AU1328" s="93">
        <v>1311</v>
      </c>
      <c r="AV1328" t="s">
        <v>139</v>
      </c>
    </row>
    <row r="1329" spans="20:48">
      <c r="T1329" s="79"/>
      <c r="U1329" s="79"/>
      <c r="AT1329" t="s">
        <v>545</v>
      </c>
      <c r="AU1329" s="93">
        <v>1312</v>
      </c>
      <c r="AV1329" t="s">
        <v>120</v>
      </c>
    </row>
    <row r="1330" spans="20:48">
      <c r="T1330" s="79"/>
      <c r="U1330" s="79"/>
      <c r="AT1330" t="s">
        <v>546</v>
      </c>
      <c r="AU1330" s="93">
        <v>1313</v>
      </c>
      <c r="AV1330" t="s">
        <v>134</v>
      </c>
    </row>
    <row r="1331" spans="20:48">
      <c r="T1331" s="79"/>
      <c r="U1331" s="79"/>
      <c r="AT1331" t="s">
        <v>547</v>
      </c>
      <c r="AU1331" s="93">
        <v>1314</v>
      </c>
      <c r="AV1331" t="s">
        <v>120</v>
      </c>
    </row>
    <row r="1332" spans="20:48">
      <c r="T1332" s="79"/>
      <c r="U1332" s="79"/>
      <c r="AT1332" t="s">
        <v>548</v>
      </c>
      <c r="AU1332" s="93">
        <v>1315</v>
      </c>
      <c r="AV1332" t="s">
        <v>132</v>
      </c>
    </row>
    <row r="1333" spans="20:48">
      <c r="T1333" s="79"/>
      <c r="U1333" s="79"/>
      <c r="AT1333" t="s">
        <v>549</v>
      </c>
      <c r="AU1333" s="93">
        <v>1316</v>
      </c>
      <c r="AV1333" t="s">
        <v>117</v>
      </c>
    </row>
    <row r="1334" spans="20:48">
      <c r="T1334" s="79"/>
      <c r="U1334" s="79"/>
      <c r="AT1334" t="s">
        <v>550</v>
      </c>
      <c r="AU1334" s="93">
        <v>1317</v>
      </c>
      <c r="AV1334" t="s">
        <v>117</v>
      </c>
    </row>
    <row r="1335" spans="20:48">
      <c r="T1335" s="79"/>
      <c r="U1335" s="79"/>
      <c r="AT1335" t="s">
        <v>551</v>
      </c>
      <c r="AU1335" s="93">
        <v>1318</v>
      </c>
      <c r="AV1335" t="s">
        <v>129</v>
      </c>
    </row>
    <row r="1336" spans="20:48">
      <c r="T1336" s="79"/>
      <c r="U1336" s="79"/>
      <c r="AT1336" t="s">
        <v>552</v>
      </c>
      <c r="AU1336" s="93">
        <v>1319</v>
      </c>
      <c r="AV1336" t="s">
        <v>155</v>
      </c>
    </row>
    <row r="1337" spans="20:48">
      <c r="T1337" s="79"/>
      <c r="U1337" s="79"/>
      <c r="AT1337" t="s">
        <v>553</v>
      </c>
      <c r="AU1337" s="93">
        <v>1320</v>
      </c>
      <c r="AV1337" t="s">
        <v>111</v>
      </c>
    </row>
    <row r="1338" spans="20:48">
      <c r="T1338" s="79"/>
      <c r="U1338" s="79"/>
      <c r="AT1338" t="s">
        <v>554</v>
      </c>
      <c r="AU1338" s="93">
        <v>1321</v>
      </c>
      <c r="AV1338" t="s">
        <v>138</v>
      </c>
    </row>
    <row r="1339" spans="20:48">
      <c r="T1339" s="79"/>
      <c r="U1339" s="79"/>
      <c r="AT1339" t="s">
        <v>555</v>
      </c>
      <c r="AU1339" s="93">
        <v>1322</v>
      </c>
      <c r="AV1339" t="s">
        <v>123</v>
      </c>
    </row>
    <row r="1340" spans="20:48">
      <c r="T1340" s="79"/>
      <c r="U1340" s="79"/>
      <c r="AT1340" t="s">
        <v>556</v>
      </c>
      <c r="AU1340" s="93">
        <v>1323</v>
      </c>
      <c r="AV1340" t="s">
        <v>117</v>
      </c>
    </row>
    <row r="1341" spans="20:48">
      <c r="T1341" s="79"/>
      <c r="U1341" s="79"/>
      <c r="AT1341" t="s">
        <v>557</v>
      </c>
      <c r="AU1341" s="93">
        <v>1324</v>
      </c>
      <c r="AV1341" t="s">
        <v>220</v>
      </c>
    </row>
    <row r="1342" spans="20:48">
      <c r="T1342" s="79"/>
      <c r="U1342" s="79"/>
      <c r="AT1342" t="s">
        <v>558</v>
      </c>
      <c r="AU1342" s="93">
        <v>1325</v>
      </c>
      <c r="AV1342" t="s">
        <v>114</v>
      </c>
    </row>
    <row r="1343" spans="20:48">
      <c r="T1343" s="79"/>
      <c r="U1343" s="79"/>
      <c r="AT1343" t="s">
        <v>559</v>
      </c>
      <c r="AU1343" s="93">
        <v>1326</v>
      </c>
      <c r="AV1343" t="s">
        <v>120</v>
      </c>
    </row>
    <row r="1344" spans="20:48">
      <c r="T1344" s="79"/>
      <c r="U1344" s="79"/>
      <c r="AT1344" t="s">
        <v>560</v>
      </c>
      <c r="AU1344" s="93">
        <v>1327</v>
      </c>
      <c r="AV1344" t="s">
        <v>129</v>
      </c>
    </row>
    <row r="1345" spans="20:48">
      <c r="T1345" s="79"/>
      <c r="U1345" s="79"/>
      <c r="AT1345" t="s">
        <v>561</v>
      </c>
      <c r="AU1345" s="93">
        <v>1328</v>
      </c>
      <c r="AV1345" t="s">
        <v>129</v>
      </c>
    </row>
    <row r="1346" spans="20:48">
      <c r="T1346" s="79"/>
      <c r="U1346" s="79"/>
      <c r="AT1346" t="s">
        <v>562</v>
      </c>
      <c r="AU1346" s="93">
        <v>1329</v>
      </c>
      <c r="AV1346" t="s">
        <v>117</v>
      </c>
    </row>
    <row r="1347" spans="20:48">
      <c r="T1347" s="79"/>
      <c r="U1347" s="79"/>
      <c r="AT1347" t="s">
        <v>563</v>
      </c>
      <c r="AU1347" s="93">
        <v>1330</v>
      </c>
      <c r="AV1347" t="s">
        <v>111</v>
      </c>
    </row>
    <row r="1348" spans="20:48">
      <c r="T1348" s="79"/>
      <c r="U1348" s="79"/>
      <c r="AT1348" t="s">
        <v>564</v>
      </c>
      <c r="AU1348" s="93">
        <v>1331</v>
      </c>
      <c r="AV1348" t="s">
        <v>123</v>
      </c>
    </row>
    <row r="1349" spans="20:48">
      <c r="T1349" s="79"/>
      <c r="U1349" s="79"/>
      <c r="AT1349" t="s">
        <v>565</v>
      </c>
      <c r="AU1349" s="93">
        <v>1332</v>
      </c>
      <c r="AV1349" t="s">
        <v>139</v>
      </c>
    </row>
    <row r="1350" spans="20:48">
      <c r="T1350" s="79"/>
      <c r="U1350" s="79"/>
      <c r="AT1350" t="s">
        <v>566</v>
      </c>
      <c r="AU1350" s="93">
        <v>1333</v>
      </c>
      <c r="AV1350" t="s">
        <v>129</v>
      </c>
    </row>
    <row r="1351" spans="20:48">
      <c r="T1351" s="79"/>
      <c r="U1351" s="79"/>
      <c r="AT1351" t="s">
        <v>567</v>
      </c>
      <c r="AU1351" s="93">
        <v>1334</v>
      </c>
      <c r="AV1351" t="s">
        <v>145</v>
      </c>
    </row>
    <row r="1352" spans="20:48">
      <c r="T1352" s="79"/>
      <c r="U1352" s="79"/>
      <c r="AT1352" t="s">
        <v>568</v>
      </c>
      <c r="AU1352" s="93">
        <v>1335</v>
      </c>
      <c r="AV1352" t="s">
        <v>150</v>
      </c>
    </row>
    <row r="1353" spans="20:48">
      <c r="T1353" s="79"/>
      <c r="U1353" s="79"/>
      <c r="AT1353" t="s">
        <v>569</v>
      </c>
      <c r="AU1353" s="93">
        <v>1336</v>
      </c>
      <c r="AV1353" t="s">
        <v>120</v>
      </c>
    </row>
    <row r="1354" spans="20:48">
      <c r="T1354" s="79"/>
      <c r="U1354" s="79"/>
      <c r="AT1354" t="s">
        <v>570</v>
      </c>
      <c r="AU1354" s="93">
        <v>1337</v>
      </c>
      <c r="AV1354" t="s">
        <v>120</v>
      </c>
    </row>
    <row r="1355" spans="20:48">
      <c r="T1355" s="79"/>
      <c r="U1355" s="79"/>
      <c r="AT1355" t="s">
        <v>571</v>
      </c>
      <c r="AU1355" s="93">
        <v>1338</v>
      </c>
      <c r="AV1355" t="s">
        <v>147</v>
      </c>
    </row>
    <row r="1356" spans="20:48">
      <c r="T1356" s="79"/>
      <c r="U1356" s="79"/>
      <c r="AT1356" t="s">
        <v>572</v>
      </c>
      <c r="AU1356" s="93">
        <v>1339</v>
      </c>
      <c r="AV1356" t="s">
        <v>123</v>
      </c>
    </row>
    <row r="1357" spans="20:48">
      <c r="T1357" s="79"/>
      <c r="U1357" s="79"/>
      <c r="AT1357" t="s">
        <v>573</v>
      </c>
      <c r="AU1357" s="93">
        <v>1340</v>
      </c>
      <c r="AV1357" t="s">
        <v>123</v>
      </c>
    </row>
    <row r="1358" spans="20:48">
      <c r="T1358" s="79"/>
      <c r="U1358" s="79"/>
      <c r="AT1358" t="s">
        <v>574</v>
      </c>
      <c r="AU1358" s="93">
        <v>1341</v>
      </c>
      <c r="AV1358" t="s">
        <v>123</v>
      </c>
    </row>
    <row r="1359" spans="20:48">
      <c r="T1359" s="79"/>
      <c r="U1359" s="79"/>
      <c r="AT1359" t="s">
        <v>575</v>
      </c>
      <c r="AU1359" s="93">
        <v>1342</v>
      </c>
      <c r="AV1359" t="s">
        <v>129</v>
      </c>
    </row>
    <row r="1360" spans="20:48">
      <c r="T1360" s="79"/>
      <c r="U1360" s="79"/>
      <c r="AT1360" t="s">
        <v>576</v>
      </c>
      <c r="AU1360" s="93">
        <v>1343</v>
      </c>
      <c r="AV1360" t="s">
        <v>120</v>
      </c>
    </row>
    <row r="1361" spans="20:48">
      <c r="T1361" s="79"/>
      <c r="U1361" s="79"/>
      <c r="AT1361" t="s">
        <v>577</v>
      </c>
      <c r="AU1361" s="93">
        <v>1344</v>
      </c>
      <c r="AV1361" t="s">
        <v>111</v>
      </c>
    </row>
    <row r="1362" spans="20:48">
      <c r="T1362" s="79"/>
      <c r="U1362" s="79"/>
      <c r="AT1362" t="s">
        <v>578</v>
      </c>
      <c r="AU1362" s="93">
        <v>1345</v>
      </c>
      <c r="AV1362" t="s">
        <v>134</v>
      </c>
    </row>
    <row r="1363" spans="20:48">
      <c r="T1363" s="79"/>
      <c r="U1363" s="79"/>
      <c r="AT1363" t="s">
        <v>579</v>
      </c>
      <c r="AU1363" s="93">
        <v>1346</v>
      </c>
      <c r="AV1363" t="s">
        <v>127</v>
      </c>
    </row>
    <row r="1364" spans="20:48">
      <c r="T1364" s="79"/>
      <c r="U1364" s="79"/>
      <c r="AT1364" t="s">
        <v>580</v>
      </c>
      <c r="AU1364" s="93">
        <v>1347</v>
      </c>
      <c r="AV1364" t="s">
        <v>121</v>
      </c>
    </row>
    <row r="1365" spans="20:48">
      <c r="T1365" s="79"/>
      <c r="U1365" s="79"/>
      <c r="AT1365" t="s">
        <v>581</v>
      </c>
      <c r="AU1365" s="93">
        <v>1348</v>
      </c>
      <c r="AV1365" t="s">
        <v>111</v>
      </c>
    </row>
    <row r="1366" spans="20:48">
      <c r="T1366" s="79"/>
      <c r="U1366" s="79"/>
      <c r="AT1366" t="s">
        <v>582</v>
      </c>
      <c r="AU1366" s="93">
        <v>1349</v>
      </c>
      <c r="AV1366" t="s">
        <v>115</v>
      </c>
    </row>
    <row r="1367" spans="20:48">
      <c r="T1367" s="79"/>
      <c r="U1367" s="79"/>
      <c r="AT1367" t="s">
        <v>583</v>
      </c>
      <c r="AU1367" s="93">
        <v>1350</v>
      </c>
      <c r="AV1367" t="s">
        <v>111</v>
      </c>
    </row>
    <row r="1368" spans="20:48">
      <c r="T1368" s="79"/>
      <c r="U1368" s="79"/>
      <c r="AT1368" t="s">
        <v>584</v>
      </c>
      <c r="AU1368" s="93">
        <v>1351</v>
      </c>
      <c r="AV1368" t="s">
        <v>120</v>
      </c>
    </row>
    <row r="1369" spans="20:48">
      <c r="T1369" s="79"/>
      <c r="U1369" s="79"/>
      <c r="AT1369" t="s">
        <v>585</v>
      </c>
      <c r="AU1369" s="93">
        <v>1352</v>
      </c>
      <c r="AV1369" t="s">
        <v>111</v>
      </c>
    </row>
    <row r="1370" spans="20:48">
      <c r="T1370" s="79"/>
      <c r="U1370" s="79"/>
      <c r="AT1370" t="s">
        <v>586</v>
      </c>
      <c r="AU1370" s="93">
        <v>1353</v>
      </c>
      <c r="AV1370" t="s">
        <v>132</v>
      </c>
    </row>
    <row r="1371" spans="20:48">
      <c r="T1371" s="79"/>
      <c r="U1371" s="79"/>
      <c r="AT1371" t="s">
        <v>587</v>
      </c>
      <c r="AU1371" s="93">
        <v>1354</v>
      </c>
      <c r="AV1371" t="s">
        <v>114</v>
      </c>
    </row>
    <row r="1372" spans="20:48">
      <c r="T1372" s="79"/>
      <c r="U1372" s="79"/>
      <c r="AT1372" t="s">
        <v>588</v>
      </c>
      <c r="AU1372" s="93">
        <v>1355</v>
      </c>
      <c r="AV1372" t="s">
        <v>136</v>
      </c>
    </row>
    <row r="1373" spans="20:48">
      <c r="T1373" s="79"/>
      <c r="U1373" s="79"/>
      <c r="AT1373" t="s">
        <v>589</v>
      </c>
      <c r="AU1373" s="93">
        <v>1356</v>
      </c>
      <c r="AV1373" t="s">
        <v>111</v>
      </c>
    </row>
    <row r="1374" spans="20:48">
      <c r="T1374" s="79"/>
      <c r="U1374" s="79"/>
      <c r="AT1374" t="s">
        <v>590</v>
      </c>
      <c r="AU1374" s="93">
        <v>1357</v>
      </c>
      <c r="AV1374" t="s">
        <v>136</v>
      </c>
    </row>
    <row r="1375" spans="20:48">
      <c r="T1375" s="79"/>
      <c r="U1375" s="79"/>
      <c r="AT1375" t="s">
        <v>591</v>
      </c>
      <c r="AU1375" s="93">
        <v>1358</v>
      </c>
      <c r="AV1375" t="s">
        <v>592</v>
      </c>
    </row>
    <row r="1376" spans="20:48">
      <c r="T1376" s="79"/>
      <c r="U1376" s="79"/>
      <c r="AT1376" t="s">
        <v>593</v>
      </c>
      <c r="AU1376" s="93">
        <v>1359</v>
      </c>
      <c r="AV1376" t="s">
        <v>134</v>
      </c>
    </row>
    <row r="1377" spans="20:48">
      <c r="T1377" s="79"/>
      <c r="U1377" s="79"/>
      <c r="AT1377" t="s">
        <v>594</v>
      </c>
      <c r="AU1377" s="93">
        <v>1360</v>
      </c>
      <c r="AV1377" t="s">
        <v>131</v>
      </c>
    </row>
    <row r="1378" spans="20:48">
      <c r="T1378" s="79"/>
      <c r="U1378" s="79"/>
      <c r="AT1378" t="s">
        <v>595</v>
      </c>
      <c r="AU1378" s="93">
        <v>1361</v>
      </c>
      <c r="AV1378" t="s">
        <v>131</v>
      </c>
    </row>
    <row r="1379" spans="20:48">
      <c r="T1379" s="79"/>
      <c r="U1379" s="79"/>
      <c r="AT1379" t="s">
        <v>596</v>
      </c>
      <c r="AU1379" s="93">
        <v>1362</v>
      </c>
      <c r="AV1379" t="s">
        <v>120</v>
      </c>
    </row>
    <row r="1380" spans="20:48">
      <c r="T1380" s="79"/>
      <c r="U1380" s="79"/>
      <c r="AT1380" t="s">
        <v>597</v>
      </c>
      <c r="AU1380" s="93">
        <v>1363</v>
      </c>
      <c r="AV1380" t="s">
        <v>150</v>
      </c>
    </row>
    <row r="1381" spans="20:48">
      <c r="T1381" s="79"/>
      <c r="U1381" s="79"/>
      <c r="AT1381" t="s">
        <v>598</v>
      </c>
      <c r="AU1381" s="93">
        <v>1364</v>
      </c>
      <c r="AV1381" t="s">
        <v>115</v>
      </c>
    </row>
    <row r="1382" spans="20:48">
      <c r="T1382" s="79"/>
      <c r="U1382" s="79"/>
      <c r="AT1382" t="s">
        <v>599</v>
      </c>
      <c r="AU1382" s="93">
        <v>1365</v>
      </c>
      <c r="AV1382" t="s">
        <v>123</v>
      </c>
    </row>
    <row r="1383" spans="20:48">
      <c r="T1383" s="79"/>
      <c r="U1383" s="79"/>
      <c r="AT1383" t="s">
        <v>600</v>
      </c>
      <c r="AU1383" s="93">
        <v>1366</v>
      </c>
      <c r="AV1383" t="s">
        <v>117</v>
      </c>
    </row>
    <row r="1384" spans="20:48">
      <c r="T1384" s="79"/>
      <c r="U1384" s="79"/>
      <c r="AT1384" t="s">
        <v>601</v>
      </c>
      <c r="AU1384" s="93">
        <v>1367</v>
      </c>
      <c r="AV1384" t="s">
        <v>134</v>
      </c>
    </row>
    <row r="1385" spans="20:48">
      <c r="T1385" s="79"/>
      <c r="U1385" s="79"/>
      <c r="AT1385" t="s">
        <v>602</v>
      </c>
      <c r="AU1385" s="93">
        <v>1368</v>
      </c>
      <c r="AV1385" t="s">
        <v>120</v>
      </c>
    </row>
    <row r="1386" spans="20:48">
      <c r="T1386" s="79"/>
      <c r="U1386" s="79"/>
      <c r="AT1386" t="s">
        <v>603</v>
      </c>
      <c r="AU1386" s="93">
        <v>1369</v>
      </c>
      <c r="AV1386" t="s">
        <v>113</v>
      </c>
    </row>
    <row r="1387" spans="20:48">
      <c r="T1387" s="79"/>
      <c r="U1387" s="79"/>
      <c r="AT1387" t="s">
        <v>604</v>
      </c>
      <c r="AU1387" s="93">
        <v>1370</v>
      </c>
      <c r="AV1387" t="s">
        <v>111</v>
      </c>
    </row>
    <row r="1388" spans="20:48">
      <c r="T1388" s="79"/>
      <c r="U1388" s="79"/>
      <c r="AT1388" t="s">
        <v>605</v>
      </c>
      <c r="AU1388" s="93">
        <v>1371</v>
      </c>
      <c r="AV1388" t="s">
        <v>150</v>
      </c>
    </row>
    <row r="1389" spans="20:48">
      <c r="T1389" s="79"/>
      <c r="U1389" s="79"/>
      <c r="AT1389" t="s">
        <v>606</v>
      </c>
      <c r="AU1389" s="93">
        <v>1372</v>
      </c>
      <c r="AV1389" t="s">
        <v>111</v>
      </c>
    </row>
    <row r="1390" spans="20:48">
      <c r="T1390" s="79"/>
      <c r="U1390" s="79"/>
      <c r="AT1390" t="s">
        <v>607</v>
      </c>
      <c r="AU1390" s="93">
        <v>1373</v>
      </c>
      <c r="AV1390" t="s">
        <v>114</v>
      </c>
    </row>
    <row r="1391" spans="20:48">
      <c r="T1391" s="79"/>
      <c r="U1391" s="79"/>
      <c r="AT1391" t="s">
        <v>608</v>
      </c>
      <c r="AU1391" s="93">
        <v>1374</v>
      </c>
      <c r="AV1391" t="s">
        <v>114</v>
      </c>
    </row>
    <row r="1392" spans="20:48">
      <c r="T1392" s="79"/>
      <c r="U1392" s="79"/>
      <c r="AT1392" t="s">
        <v>609</v>
      </c>
      <c r="AU1392" s="93">
        <v>1375</v>
      </c>
      <c r="AV1392" t="s">
        <v>115</v>
      </c>
    </row>
    <row r="1393" spans="20:48">
      <c r="T1393" s="79"/>
      <c r="U1393" s="79"/>
      <c r="AT1393" t="s">
        <v>610</v>
      </c>
      <c r="AU1393" s="93">
        <v>1376</v>
      </c>
      <c r="AV1393" t="s">
        <v>611</v>
      </c>
    </row>
    <row r="1394" spans="20:48">
      <c r="T1394" s="79"/>
      <c r="U1394" s="79"/>
      <c r="AT1394" t="s">
        <v>612</v>
      </c>
      <c r="AU1394" s="93">
        <v>1377</v>
      </c>
      <c r="AV1394" t="s">
        <v>115</v>
      </c>
    </row>
    <row r="1395" spans="20:48">
      <c r="T1395" s="79"/>
      <c r="U1395" s="79"/>
      <c r="AT1395" t="s">
        <v>613</v>
      </c>
      <c r="AU1395" s="93">
        <v>1378</v>
      </c>
      <c r="AV1395" t="s">
        <v>111</v>
      </c>
    </row>
    <row r="1396" spans="20:48">
      <c r="T1396" s="79"/>
      <c r="U1396" s="79"/>
      <c r="AT1396" t="s">
        <v>614</v>
      </c>
      <c r="AU1396" s="93">
        <v>1379</v>
      </c>
      <c r="AV1396" t="s">
        <v>111</v>
      </c>
    </row>
    <row r="1397" spans="20:48">
      <c r="T1397" s="79"/>
      <c r="U1397" s="79"/>
      <c r="AT1397" t="s">
        <v>615</v>
      </c>
      <c r="AU1397" s="93">
        <v>1380</v>
      </c>
      <c r="AV1397" t="s">
        <v>147</v>
      </c>
    </row>
    <row r="1398" spans="20:48">
      <c r="T1398" s="79"/>
      <c r="U1398" s="79"/>
      <c r="AT1398" t="s">
        <v>616</v>
      </c>
      <c r="AU1398" s="93">
        <v>1381</v>
      </c>
      <c r="AV1398" t="s">
        <v>111</v>
      </c>
    </row>
    <row r="1399" spans="20:48">
      <c r="T1399" s="79"/>
      <c r="U1399" s="79"/>
      <c r="AT1399" t="s">
        <v>617</v>
      </c>
      <c r="AU1399" s="93">
        <v>1382</v>
      </c>
      <c r="AV1399" t="s">
        <v>120</v>
      </c>
    </row>
    <row r="1400" spans="20:48">
      <c r="T1400" s="79"/>
      <c r="U1400" s="79"/>
      <c r="AT1400" t="s">
        <v>618</v>
      </c>
      <c r="AU1400" s="93">
        <v>1383</v>
      </c>
      <c r="AV1400" t="s">
        <v>132</v>
      </c>
    </row>
    <row r="1401" spans="20:48">
      <c r="T1401" s="79"/>
      <c r="U1401" s="79"/>
      <c r="AT1401" t="s">
        <v>619</v>
      </c>
      <c r="AU1401" s="93">
        <v>1384</v>
      </c>
      <c r="AV1401" t="s">
        <v>123</v>
      </c>
    </row>
    <row r="1402" spans="20:48">
      <c r="T1402" s="79"/>
      <c r="U1402" s="79"/>
      <c r="AT1402" t="s">
        <v>620</v>
      </c>
      <c r="AU1402" s="93">
        <v>1385</v>
      </c>
      <c r="AV1402" t="s">
        <v>114</v>
      </c>
    </row>
    <row r="1403" spans="20:48">
      <c r="T1403" s="79"/>
      <c r="U1403" s="79"/>
      <c r="AT1403" t="s">
        <v>621</v>
      </c>
      <c r="AU1403" s="93">
        <v>1386</v>
      </c>
      <c r="AV1403" t="s">
        <v>111</v>
      </c>
    </row>
    <row r="1404" spans="20:48">
      <c r="T1404" s="79"/>
      <c r="U1404" s="79"/>
      <c r="AT1404" t="s">
        <v>622</v>
      </c>
      <c r="AU1404" s="93">
        <v>1387</v>
      </c>
      <c r="AV1404" t="s">
        <v>120</v>
      </c>
    </row>
    <row r="1405" spans="20:48">
      <c r="T1405" s="79"/>
      <c r="U1405" s="79"/>
      <c r="AT1405" t="s">
        <v>623</v>
      </c>
      <c r="AU1405" s="93">
        <v>1388</v>
      </c>
      <c r="AV1405" t="s">
        <v>133</v>
      </c>
    </row>
    <row r="1406" spans="20:48">
      <c r="T1406" s="79"/>
      <c r="U1406" s="79"/>
      <c r="AT1406" t="s">
        <v>624</v>
      </c>
      <c r="AU1406" s="93">
        <v>1389</v>
      </c>
      <c r="AV1406" t="s">
        <v>114</v>
      </c>
    </row>
    <row r="1407" spans="20:48">
      <c r="T1407" s="79"/>
      <c r="U1407" s="79"/>
      <c r="AT1407" t="s">
        <v>625</v>
      </c>
      <c r="AU1407" s="93">
        <v>1390</v>
      </c>
      <c r="AV1407" t="s">
        <v>150</v>
      </c>
    </row>
    <row r="1408" spans="20:48">
      <c r="T1408" s="79"/>
      <c r="U1408" s="79"/>
      <c r="AT1408" t="s">
        <v>626</v>
      </c>
      <c r="AU1408" s="93">
        <v>1391</v>
      </c>
      <c r="AV1408" t="s">
        <v>150</v>
      </c>
    </row>
    <row r="1409" spans="20:48">
      <c r="T1409" s="79"/>
      <c r="U1409" s="79"/>
      <c r="AT1409" t="s">
        <v>627</v>
      </c>
      <c r="AU1409" s="93">
        <v>1392</v>
      </c>
      <c r="AV1409" t="s">
        <v>145</v>
      </c>
    </row>
    <row r="1410" spans="20:48">
      <c r="T1410" s="79"/>
      <c r="U1410" s="79"/>
      <c r="AT1410" t="s">
        <v>628</v>
      </c>
      <c r="AU1410" s="93">
        <v>1393</v>
      </c>
      <c r="AV1410" t="s">
        <v>129</v>
      </c>
    </row>
    <row r="1411" spans="20:48">
      <c r="T1411" s="79"/>
      <c r="U1411" s="79"/>
      <c r="AT1411" t="s">
        <v>629</v>
      </c>
      <c r="AU1411" s="93">
        <v>1394</v>
      </c>
      <c r="AV1411" t="s">
        <v>127</v>
      </c>
    </row>
    <row r="1412" spans="20:48">
      <c r="T1412" s="79"/>
      <c r="U1412" s="79"/>
      <c r="AT1412" t="s">
        <v>630</v>
      </c>
      <c r="AU1412" s="93">
        <v>1395</v>
      </c>
      <c r="AV1412" t="s">
        <v>145</v>
      </c>
    </row>
    <row r="1413" spans="20:48">
      <c r="T1413" s="79"/>
      <c r="U1413" s="79"/>
      <c r="AT1413" t="s">
        <v>631</v>
      </c>
      <c r="AU1413" s="93">
        <v>1396</v>
      </c>
      <c r="AV1413" t="s">
        <v>115</v>
      </c>
    </row>
    <row r="1414" spans="20:48">
      <c r="T1414" s="79"/>
      <c r="U1414" s="79"/>
      <c r="AT1414" t="s">
        <v>632</v>
      </c>
      <c r="AU1414" s="93">
        <v>1397</v>
      </c>
      <c r="AV1414" t="s">
        <v>115</v>
      </c>
    </row>
    <row r="1415" spans="20:48">
      <c r="T1415" s="79"/>
      <c r="U1415" s="79"/>
      <c r="AT1415" t="s">
        <v>633</v>
      </c>
      <c r="AU1415" s="93">
        <v>1398</v>
      </c>
      <c r="AV1415" t="s">
        <v>115</v>
      </c>
    </row>
    <row r="1416" spans="20:48">
      <c r="T1416" s="79"/>
      <c r="U1416" s="79"/>
      <c r="AT1416" t="s">
        <v>634</v>
      </c>
      <c r="AU1416" s="93">
        <v>1399</v>
      </c>
      <c r="AV1416" t="s">
        <v>111</v>
      </c>
    </row>
    <row r="1417" spans="20:48">
      <c r="T1417" s="79"/>
      <c r="U1417" s="79"/>
      <c r="AT1417" t="s">
        <v>635</v>
      </c>
      <c r="AU1417" s="93">
        <v>1400</v>
      </c>
      <c r="AV1417" t="s">
        <v>129</v>
      </c>
    </row>
    <row r="1418" spans="20:48">
      <c r="T1418" s="79"/>
      <c r="U1418" s="79"/>
      <c r="AT1418" t="s">
        <v>636</v>
      </c>
      <c r="AU1418" s="93">
        <v>1401</v>
      </c>
      <c r="AV1418" t="s">
        <v>132</v>
      </c>
    </row>
    <row r="1419" spans="20:48">
      <c r="T1419" s="79"/>
      <c r="U1419" s="79"/>
      <c r="AT1419" t="s">
        <v>637</v>
      </c>
      <c r="AU1419" s="93">
        <v>1402</v>
      </c>
      <c r="AV1419" t="s">
        <v>111</v>
      </c>
    </row>
    <row r="1420" spans="20:48">
      <c r="T1420" s="79"/>
      <c r="U1420" s="79"/>
      <c r="AT1420" t="s">
        <v>638</v>
      </c>
      <c r="AU1420" s="93">
        <v>1403</v>
      </c>
      <c r="AV1420" t="s">
        <v>136</v>
      </c>
    </row>
    <row r="1421" spans="20:48">
      <c r="T1421" s="79"/>
      <c r="U1421" s="79"/>
      <c r="AT1421" t="s">
        <v>639</v>
      </c>
      <c r="AU1421" s="93">
        <v>1404</v>
      </c>
      <c r="AV1421" t="s">
        <v>117</v>
      </c>
    </row>
    <row r="1422" spans="20:48">
      <c r="T1422" s="79"/>
      <c r="U1422" s="79"/>
      <c r="AT1422" t="s">
        <v>640</v>
      </c>
      <c r="AU1422" s="93">
        <v>1405</v>
      </c>
      <c r="AV1422" t="s">
        <v>114</v>
      </c>
    </row>
    <row r="1423" spans="20:48">
      <c r="T1423" s="79"/>
      <c r="U1423" s="79"/>
      <c r="AT1423" t="s">
        <v>641</v>
      </c>
      <c r="AU1423" s="93">
        <v>1406</v>
      </c>
      <c r="AV1423" t="s">
        <v>114</v>
      </c>
    </row>
    <row r="1424" spans="20:48">
      <c r="T1424" s="79"/>
      <c r="U1424" s="79"/>
      <c r="AT1424" t="s">
        <v>642</v>
      </c>
      <c r="AU1424" s="93">
        <v>1407</v>
      </c>
      <c r="AV1424" t="s">
        <v>129</v>
      </c>
    </row>
    <row r="1425" spans="20:48">
      <c r="T1425" s="79"/>
      <c r="U1425" s="79"/>
      <c r="AT1425" t="s">
        <v>643</v>
      </c>
      <c r="AU1425" s="93">
        <v>1408</v>
      </c>
      <c r="AV1425" t="s">
        <v>111</v>
      </c>
    </row>
    <row r="1426" spans="20:48">
      <c r="T1426" s="79"/>
      <c r="U1426" s="79"/>
      <c r="AT1426" t="s">
        <v>644</v>
      </c>
      <c r="AU1426" s="93">
        <v>1409</v>
      </c>
      <c r="AV1426" t="s">
        <v>111</v>
      </c>
    </row>
    <row r="1427" spans="20:48">
      <c r="T1427" s="79"/>
      <c r="U1427" s="79"/>
      <c r="AT1427" t="s">
        <v>645</v>
      </c>
      <c r="AU1427" s="93">
        <v>1410</v>
      </c>
      <c r="AV1427" t="s">
        <v>115</v>
      </c>
    </row>
    <row r="1428" spans="20:48">
      <c r="T1428" s="79"/>
      <c r="U1428" s="79"/>
      <c r="AT1428" t="s">
        <v>646</v>
      </c>
      <c r="AU1428" s="93">
        <v>1411</v>
      </c>
      <c r="AV1428" t="s">
        <v>647</v>
      </c>
    </row>
    <row r="1429" spans="20:48">
      <c r="T1429" s="79"/>
      <c r="U1429" s="79"/>
      <c r="AT1429" t="s">
        <v>648</v>
      </c>
      <c r="AU1429" s="93">
        <v>1412</v>
      </c>
      <c r="AV1429" t="s">
        <v>111</v>
      </c>
    </row>
    <row r="1430" spans="20:48">
      <c r="T1430" s="79"/>
      <c r="U1430" s="79"/>
      <c r="AT1430" t="s">
        <v>649</v>
      </c>
      <c r="AU1430" s="93">
        <v>1413</v>
      </c>
      <c r="AV1430" t="s">
        <v>114</v>
      </c>
    </row>
    <row r="1431" spans="20:48">
      <c r="T1431" s="79"/>
      <c r="U1431" s="79"/>
      <c r="AT1431" t="s">
        <v>650</v>
      </c>
      <c r="AU1431" s="93">
        <v>1414</v>
      </c>
      <c r="AV1431" t="s">
        <v>136</v>
      </c>
    </row>
    <row r="1432" spans="20:48">
      <c r="T1432" s="79"/>
      <c r="U1432" s="79"/>
      <c r="AT1432" t="s">
        <v>651</v>
      </c>
      <c r="AU1432" s="93">
        <v>1415</v>
      </c>
      <c r="AV1432" t="s">
        <v>118</v>
      </c>
    </row>
    <row r="1433" spans="20:48">
      <c r="T1433" s="79"/>
      <c r="U1433" s="79"/>
      <c r="AT1433" t="s">
        <v>652</v>
      </c>
      <c r="AU1433" s="93">
        <v>1416</v>
      </c>
      <c r="AV1433" t="s">
        <v>123</v>
      </c>
    </row>
    <row r="1434" spans="20:48">
      <c r="T1434" s="79"/>
      <c r="U1434" s="79"/>
      <c r="AT1434" t="s">
        <v>653</v>
      </c>
      <c r="AU1434" s="93">
        <v>1417</v>
      </c>
      <c r="AV1434" t="s">
        <v>123</v>
      </c>
    </row>
    <row r="1435" spans="20:48">
      <c r="T1435" s="79"/>
      <c r="U1435" s="79"/>
      <c r="AT1435" t="s">
        <v>654</v>
      </c>
      <c r="AU1435" s="93">
        <v>1418</v>
      </c>
      <c r="AV1435" t="s">
        <v>111</v>
      </c>
    </row>
    <row r="1436" spans="20:48">
      <c r="T1436" s="79"/>
      <c r="U1436" s="79"/>
      <c r="AT1436" t="s">
        <v>655</v>
      </c>
      <c r="AU1436" s="93">
        <v>1419</v>
      </c>
      <c r="AV1436" t="s">
        <v>111</v>
      </c>
    </row>
    <row r="1437" spans="20:48">
      <c r="T1437" s="79"/>
      <c r="U1437" s="79"/>
      <c r="AT1437" t="s">
        <v>656</v>
      </c>
      <c r="AU1437" s="93">
        <v>1420</v>
      </c>
      <c r="AV1437" t="s">
        <v>120</v>
      </c>
    </row>
    <row r="1438" spans="20:48">
      <c r="T1438" s="79"/>
      <c r="U1438" s="79"/>
      <c r="AT1438" t="s">
        <v>657</v>
      </c>
      <c r="AU1438" s="93">
        <v>1421</v>
      </c>
      <c r="AV1438" t="s">
        <v>115</v>
      </c>
    </row>
    <row r="1439" spans="20:48">
      <c r="T1439" s="79"/>
      <c r="U1439" s="79"/>
      <c r="AT1439" t="s">
        <v>658</v>
      </c>
      <c r="AU1439" s="93">
        <v>1422</v>
      </c>
      <c r="AV1439" t="s">
        <v>145</v>
      </c>
    </row>
    <row r="1440" spans="20:48">
      <c r="T1440" s="79"/>
      <c r="U1440" s="79"/>
      <c r="AT1440" t="s">
        <v>659</v>
      </c>
      <c r="AU1440" s="93">
        <v>1423</v>
      </c>
      <c r="AV1440" t="s">
        <v>120</v>
      </c>
    </row>
    <row r="1441" spans="20:48">
      <c r="T1441" s="79"/>
      <c r="U1441" s="79"/>
      <c r="AT1441" t="s">
        <v>660</v>
      </c>
      <c r="AU1441" s="93">
        <v>1424</v>
      </c>
      <c r="AV1441" t="s">
        <v>120</v>
      </c>
    </row>
    <row r="1442" spans="20:48">
      <c r="T1442" s="79"/>
      <c r="U1442" s="79"/>
      <c r="AT1442" t="s">
        <v>661</v>
      </c>
      <c r="AU1442" s="93">
        <v>1425</v>
      </c>
      <c r="AV1442" t="s">
        <v>115</v>
      </c>
    </row>
    <row r="1443" spans="20:48">
      <c r="T1443" s="79"/>
      <c r="U1443" s="79"/>
      <c r="AT1443" t="s">
        <v>662</v>
      </c>
      <c r="AU1443" s="93">
        <v>1426</v>
      </c>
      <c r="AV1443" t="s">
        <v>128</v>
      </c>
    </row>
    <row r="1444" spans="20:48">
      <c r="T1444" s="79"/>
      <c r="U1444" s="79"/>
      <c r="AT1444" t="s">
        <v>663</v>
      </c>
      <c r="AU1444" s="93">
        <v>1427</v>
      </c>
      <c r="AV1444" t="s">
        <v>114</v>
      </c>
    </row>
    <row r="1445" spans="20:48">
      <c r="T1445" s="79"/>
      <c r="U1445" s="79"/>
      <c r="AT1445" t="s">
        <v>664</v>
      </c>
      <c r="AU1445" s="93">
        <v>1428</v>
      </c>
      <c r="AV1445" t="s">
        <v>123</v>
      </c>
    </row>
    <row r="1446" spans="20:48">
      <c r="T1446" s="79"/>
      <c r="U1446" s="79"/>
      <c r="AT1446" t="s">
        <v>665</v>
      </c>
      <c r="AU1446" s="93">
        <v>1429</v>
      </c>
      <c r="AV1446" t="s">
        <v>136</v>
      </c>
    </row>
    <row r="1447" spans="20:48">
      <c r="T1447" s="79"/>
      <c r="U1447" s="79"/>
      <c r="AT1447" t="s">
        <v>666</v>
      </c>
      <c r="AU1447" s="93">
        <v>1430</v>
      </c>
      <c r="AV1447" t="s">
        <v>111</v>
      </c>
    </row>
    <row r="1448" spans="20:48">
      <c r="T1448" s="79"/>
      <c r="U1448" s="79"/>
      <c r="AT1448" t="s">
        <v>667</v>
      </c>
      <c r="AU1448" s="93">
        <v>1431</v>
      </c>
      <c r="AV1448" t="s">
        <v>117</v>
      </c>
    </row>
    <row r="1449" spans="20:48">
      <c r="T1449" s="79"/>
      <c r="U1449" s="79"/>
      <c r="AT1449" t="s">
        <v>668</v>
      </c>
      <c r="AU1449" s="93">
        <v>1432</v>
      </c>
      <c r="AV1449" t="s">
        <v>127</v>
      </c>
    </row>
    <row r="1450" spans="20:48">
      <c r="T1450" s="79"/>
      <c r="U1450" s="79"/>
      <c r="AT1450" t="s">
        <v>669</v>
      </c>
      <c r="AU1450" s="93">
        <v>1433</v>
      </c>
      <c r="AV1450" t="s">
        <v>141</v>
      </c>
    </row>
    <row r="1451" spans="20:48">
      <c r="T1451" s="79"/>
      <c r="U1451" s="79"/>
      <c r="AT1451" t="s">
        <v>670</v>
      </c>
      <c r="AU1451" s="93">
        <v>1434</v>
      </c>
      <c r="AV1451" t="s">
        <v>115</v>
      </c>
    </row>
    <row r="1452" spans="20:48">
      <c r="T1452" s="79"/>
      <c r="U1452" s="79"/>
      <c r="AT1452" t="s">
        <v>671</v>
      </c>
      <c r="AU1452" s="93">
        <v>1435</v>
      </c>
      <c r="AV1452" t="s">
        <v>114</v>
      </c>
    </row>
    <row r="1453" spans="20:48">
      <c r="T1453" s="79"/>
      <c r="U1453" s="79"/>
      <c r="AT1453" t="s">
        <v>672</v>
      </c>
      <c r="AU1453" s="93">
        <v>1436</v>
      </c>
      <c r="AV1453" t="s">
        <v>134</v>
      </c>
    </row>
    <row r="1454" spans="20:48">
      <c r="T1454" s="79"/>
      <c r="U1454" s="79"/>
      <c r="AT1454" t="s">
        <v>673</v>
      </c>
      <c r="AU1454" s="93">
        <v>1437</v>
      </c>
      <c r="AV1454" t="s">
        <v>114</v>
      </c>
    </row>
    <row r="1455" spans="20:48">
      <c r="T1455" s="79"/>
      <c r="U1455" s="79"/>
      <c r="AT1455" t="s">
        <v>674</v>
      </c>
      <c r="AU1455" s="93">
        <v>1438</v>
      </c>
      <c r="AV1455" t="s">
        <v>147</v>
      </c>
    </row>
    <row r="1456" spans="20:48">
      <c r="T1456" s="79"/>
      <c r="U1456" s="79"/>
      <c r="AT1456" t="s">
        <v>675</v>
      </c>
      <c r="AU1456" s="93">
        <v>1439</v>
      </c>
      <c r="AV1456" t="s">
        <v>111</v>
      </c>
    </row>
    <row r="1457" spans="20:48">
      <c r="T1457" s="79"/>
      <c r="U1457" s="79"/>
      <c r="AT1457" t="s">
        <v>676</v>
      </c>
      <c r="AU1457" s="93">
        <v>1440</v>
      </c>
      <c r="AV1457" t="s">
        <v>123</v>
      </c>
    </row>
    <row r="1458" spans="20:48">
      <c r="T1458" s="79"/>
      <c r="U1458" s="79"/>
      <c r="AT1458" t="s">
        <v>677</v>
      </c>
      <c r="AU1458" s="93">
        <v>1441</v>
      </c>
      <c r="AV1458" t="s">
        <v>123</v>
      </c>
    </row>
    <row r="1459" spans="20:48">
      <c r="T1459" s="79"/>
      <c r="U1459" s="79"/>
      <c r="AT1459" t="s">
        <v>678</v>
      </c>
      <c r="AU1459" s="93">
        <v>1442</v>
      </c>
      <c r="AV1459" t="s">
        <v>123</v>
      </c>
    </row>
    <row r="1460" spans="20:48">
      <c r="T1460" s="79"/>
      <c r="U1460" s="79"/>
      <c r="AT1460" t="s">
        <v>679</v>
      </c>
      <c r="AU1460" s="93">
        <v>1443</v>
      </c>
      <c r="AV1460" t="s">
        <v>113</v>
      </c>
    </row>
    <row r="1461" spans="20:48">
      <c r="T1461" s="79"/>
      <c r="U1461" s="79"/>
      <c r="AT1461" t="s">
        <v>680</v>
      </c>
      <c r="AU1461" s="93">
        <v>1444</v>
      </c>
      <c r="AV1461" t="s">
        <v>114</v>
      </c>
    </row>
    <row r="1462" spans="20:48">
      <c r="T1462" s="79"/>
      <c r="U1462" s="79"/>
      <c r="AT1462" t="s">
        <v>681</v>
      </c>
      <c r="AU1462" s="93">
        <v>1445</v>
      </c>
      <c r="AV1462" t="s">
        <v>121</v>
      </c>
    </row>
    <row r="1463" spans="20:48">
      <c r="T1463" s="79"/>
      <c r="U1463" s="79"/>
      <c r="AT1463" t="s">
        <v>682</v>
      </c>
      <c r="AU1463" s="93">
        <v>1446</v>
      </c>
      <c r="AV1463" t="s">
        <v>117</v>
      </c>
    </row>
    <row r="1464" spans="20:48">
      <c r="T1464" s="79"/>
      <c r="U1464" s="79"/>
      <c r="AT1464" t="s">
        <v>683</v>
      </c>
      <c r="AU1464" s="93">
        <v>1447</v>
      </c>
      <c r="AV1464" t="s">
        <v>117</v>
      </c>
    </row>
    <row r="1465" spans="20:48">
      <c r="T1465" s="79"/>
      <c r="U1465" s="79"/>
      <c r="AT1465" t="s">
        <v>684</v>
      </c>
      <c r="AU1465" s="93">
        <v>1448</v>
      </c>
      <c r="AV1465" t="s">
        <v>117</v>
      </c>
    </row>
    <row r="1466" spans="20:48">
      <c r="T1466" s="79"/>
      <c r="U1466" s="79"/>
      <c r="AT1466" t="s">
        <v>685</v>
      </c>
      <c r="AU1466" s="93">
        <v>1449</v>
      </c>
      <c r="AV1466" t="s">
        <v>132</v>
      </c>
    </row>
    <row r="1467" spans="20:48">
      <c r="T1467" s="79"/>
      <c r="U1467" s="79"/>
      <c r="AT1467" t="s">
        <v>686</v>
      </c>
      <c r="AU1467" s="93">
        <v>1450</v>
      </c>
      <c r="AV1467" t="s">
        <v>129</v>
      </c>
    </row>
    <row r="1468" spans="20:48">
      <c r="T1468" s="79"/>
      <c r="U1468" s="79"/>
      <c r="AT1468" t="s">
        <v>687</v>
      </c>
      <c r="AU1468" s="93">
        <v>1451</v>
      </c>
      <c r="AV1468" t="s">
        <v>111</v>
      </c>
    </row>
    <row r="1469" spans="20:48">
      <c r="T1469" s="79"/>
      <c r="U1469" s="79"/>
      <c r="AT1469" t="s">
        <v>688</v>
      </c>
      <c r="AU1469" s="93">
        <v>1452</v>
      </c>
      <c r="AV1469" t="s">
        <v>123</v>
      </c>
    </row>
    <row r="1470" spans="20:48">
      <c r="T1470" s="79"/>
      <c r="U1470" s="79"/>
      <c r="AT1470" t="s">
        <v>689</v>
      </c>
      <c r="AU1470" s="93">
        <v>1453</v>
      </c>
      <c r="AV1470" t="s">
        <v>111</v>
      </c>
    </row>
    <row r="1471" spans="20:48">
      <c r="T1471" s="79"/>
      <c r="U1471" s="79"/>
      <c r="AT1471" t="s">
        <v>690</v>
      </c>
      <c r="AU1471" s="93">
        <v>1454</v>
      </c>
      <c r="AV1471" t="s">
        <v>111</v>
      </c>
    </row>
    <row r="1472" spans="20:48">
      <c r="T1472" s="79"/>
      <c r="U1472" s="79"/>
      <c r="AT1472" t="s">
        <v>691</v>
      </c>
      <c r="AU1472" s="93">
        <v>1455</v>
      </c>
      <c r="AV1472" t="s">
        <v>123</v>
      </c>
    </row>
    <row r="1473" spans="20:48">
      <c r="T1473" s="79"/>
      <c r="U1473" s="79"/>
      <c r="AT1473" t="s">
        <v>692</v>
      </c>
      <c r="AU1473" s="93">
        <v>1456</v>
      </c>
      <c r="AV1473" t="s">
        <v>123</v>
      </c>
    </row>
    <row r="1474" spans="20:48">
      <c r="T1474" s="79"/>
      <c r="U1474" s="79"/>
      <c r="AT1474" t="s">
        <v>693</v>
      </c>
      <c r="AU1474" s="93">
        <v>1457</v>
      </c>
      <c r="AV1474" t="s">
        <v>136</v>
      </c>
    </row>
    <row r="1475" spans="20:48">
      <c r="T1475" s="79"/>
      <c r="U1475" s="79"/>
      <c r="AT1475" t="s">
        <v>694</v>
      </c>
      <c r="AU1475" s="93">
        <v>1458</v>
      </c>
      <c r="AV1475" t="s">
        <v>120</v>
      </c>
    </row>
    <row r="1476" spans="20:48">
      <c r="T1476" s="79"/>
      <c r="U1476" s="79"/>
      <c r="AT1476" t="s">
        <v>695</v>
      </c>
      <c r="AU1476" s="93">
        <v>1459</v>
      </c>
      <c r="AV1476" t="s">
        <v>127</v>
      </c>
    </row>
    <row r="1477" spans="20:48">
      <c r="T1477" s="79"/>
      <c r="U1477" s="79"/>
      <c r="AT1477" t="s">
        <v>696</v>
      </c>
      <c r="AU1477" s="93">
        <v>1460</v>
      </c>
      <c r="AV1477" t="s">
        <v>115</v>
      </c>
    </row>
    <row r="1478" spans="20:48">
      <c r="T1478" s="79"/>
      <c r="U1478" s="79"/>
      <c r="AT1478" t="s">
        <v>697</v>
      </c>
      <c r="AU1478" s="93">
        <v>1461</v>
      </c>
      <c r="AV1478" t="s">
        <v>115</v>
      </c>
    </row>
    <row r="1479" spans="20:48">
      <c r="T1479" s="79"/>
      <c r="U1479" s="79"/>
      <c r="AT1479" t="s">
        <v>698</v>
      </c>
      <c r="AU1479" s="93">
        <v>1462</v>
      </c>
      <c r="AV1479" t="s">
        <v>111</v>
      </c>
    </row>
    <row r="1480" spans="20:48">
      <c r="T1480" s="79"/>
      <c r="U1480" s="79"/>
      <c r="AT1480" t="s">
        <v>699</v>
      </c>
      <c r="AU1480" s="93">
        <v>1463</v>
      </c>
      <c r="AV1480" t="s">
        <v>111</v>
      </c>
    </row>
    <row r="1481" spans="20:48">
      <c r="T1481" s="79"/>
      <c r="U1481" s="79"/>
      <c r="AT1481" t="s">
        <v>700</v>
      </c>
      <c r="AU1481" s="93">
        <v>1464</v>
      </c>
      <c r="AV1481" t="s">
        <v>123</v>
      </c>
    </row>
    <row r="1482" spans="20:48">
      <c r="T1482" s="79"/>
      <c r="U1482" s="79"/>
      <c r="AT1482" t="s">
        <v>701</v>
      </c>
      <c r="AU1482" s="93">
        <v>1465</v>
      </c>
      <c r="AV1482" t="s">
        <v>111</v>
      </c>
    </row>
    <row r="1483" spans="20:48">
      <c r="T1483" s="79"/>
      <c r="U1483" s="79"/>
      <c r="AT1483" t="s">
        <v>702</v>
      </c>
      <c r="AU1483" s="93">
        <v>1466</v>
      </c>
      <c r="AV1483" t="s">
        <v>114</v>
      </c>
    </row>
    <row r="1484" spans="20:48">
      <c r="T1484" s="79"/>
      <c r="U1484" s="79"/>
      <c r="AT1484" t="s">
        <v>703</v>
      </c>
      <c r="AU1484" s="93">
        <v>1467</v>
      </c>
      <c r="AV1484" t="s">
        <v>136</v>
      </c>
    </row>
    <row r="1485" spans="20:48">
      <c r="T1485" s="79"/>
      <c r="U1485" s="79"/>
      <c r="AT1485" t="s">
        <v>704</v>
      </c>
      <c r="AU1485" s="93">
        <v>1468</v>
      </c>
      <c r="AV1485" t="s">
        <v>136</v>
      </c>
    </row>
    <row r="1486" spans="20:48">
      <c r="T1486" s="79"/>
      <c r="U1486" s="79"/>
      <c r="AT1486" t="s">
        <v>705</v>
      </c>
      <c r="AU1486" s="93">
        <v>1469</v>
      </c>
      <c r="AV1486" t="s">
        <v>142</v>
      </c>
    </row>
    <row r="1487" spans="20:48">
      <c r="T1487" s="79"/>
      <c r="U1487" s="79"/>
      <c r="AT1487" t="s">
        <v>706</v>
      </c>
      <c r="AU1487" s="93">
        <v>1470</v>
      </c>
      <c r="AV1487" t="s">
        <v>117</v>
      </c>
    </row>
    <row r="1488" spans="20:48">
      <c r="T1488" s="79"/>
      <c r="U1488" s="79"/>
      <c r="AT1488" t="s">
        <v>707</v>
      </c>
      <c r="AU1488" s="93">
        <v>1471</v>
      </c>
      <c r="AV1488" t="s">
        <v>115</v>
      </c>
    </row>
    <row r="1489" spans="20:48">
      <c r="T1489" s="79"/>
      <c r="U1489" s="79"/>
      <c r="AT1489" t="s">
        <v>708</v>
      </c>
      <c r="AU1489" s="93">
        <v>1472</v>
      </c>
      <c r="AV1489" t="s">
        <v>111</v>
      </c>
    </row>
    <row r="1490" spans="20:48">
      <c r="T1490" s="79"/>
      <c r="U1490" s="79"/>
      <c r="AT1490" t="s">
        <v>709</v>
      </c>
      <c r="AU1490" s="93">
        <v>1473</v>
      </c>
      <c r="AV1490" t="s">
        <v>115</v>
      </c>
    </row>
    <row r="1491" spans="20:48">
      <c r="T1491" s="79"/>
      <c r="U1491" s="79"/>
      <c r="AT1491" t="s">
        <v>710</v>
      </c>
      <c r="AU1491" s="93">
        <v>1474</v>
      </c>
      <c r="AV1491" t="s">
        <v>134</v>
      </c>
    </row>
    <row r="1492" spans="20:48">
      <c r="T1492" s="79"/>
      <c r="U1492" s="79"/>
      <c r="AT1492" t="s">
        <v>711</v>
      </c>
      <c r="AU1492" s="93">
        <v>1475</v>
      </c>
      <c r="AV1492" t="s">
        <v>152</v>
      </c>
    </row>
    <row r="1493" spans="20:48">
      <c r="T1493" s="79"/>
      <c r="U1493" s="79"/>
      <c r="AT1493" t="s">
        <v>712</v>
      </c>
      <c r="AU1493" s="93">
        <v>1476</v>
      </c>
      <c r="AV1493" t="s">
        <v>115</v>
      </c>
    </row>
    <row r="1494" spans="20:48">
      <c r="T1494" s="79"/>
      <c r="U1494" s="79"/>
      <c r="AT1494" t="s">
        <v>713</v>
      </c>
      <c r="AU1494" s="93">
        <v>1477</v>
      </c>
      <c r="AV1494" t="s">
        <v>136</v>
      </c>
    </row>
    <row r="1495" spans="20:48">
      <c r="T1495" s="79"/>
      <c r="U1495" s="79"/>
      <c r="AT1495" t="s">
        <v>714</v>
      </c>
      <c r="AU1495" s="93">
        <v>1478</v>
      </c>
      <c r="AV1495" t="s">
        <v>123</v>
      </c>
    </row>
    <row r="1496" spans="20:48">
      <c r="T1496" s="79"/>
      <c r="U1496" s="79"/>
      <c r="AT1496" t="s">
        <v>715</v>
      </c>
      <c r="AU1496" s="93">
        <v>1479</v>
      </c>
      <c r="AV1496" t="s">
        <v>111</v>
      </c>
    </row>
    <row r="1497" spans="20:48">
      <c r="T1497" s="79"/>
      <c r="U1497" s="79"/>
      <c r="AT1497" t="s">
        <v>716</v>
      </c>
      <c r="AU1497" s="93">
        <v>1480</v>
      </c>
      <c r="AV1497" t="s">
        <v>115</v>
      </c>
    </row>
    <row r="1498" spans="20:48">
      <c r="T1498" s="79"/>
      <c r="U1498" s="79"/>
      <c r="AT1498" t="s">
        <v>717</v>
      </c>
      <c r="AU1498" s="93">
        <v>1481</v>
      </c>
      <c r="AV1498" t="s">
        <v>127</v>
      </c>
    </row>
    <row r="1499" spans="20:48">
      <c r="T1499" s="79"/>
      <c r="U1499" s="79"/>
      <c r="AT1499" t="s">
        <v>718</v>
      </c>
      <c r="AU1499" s="93">
        <v>1482</v>
      </c>
      <c r="AV1499" t="s">
        <v>141</v>
      </c>
    </row>
    <row r="1500" spans="20:48">
      <c r="T1500" s="79"/>
      <c r="U1500" s="79"/>
      <c r="AT1500" t="s">
        <v>719</v>
      </c>
      <c r="AU1500" s="93">
        <v>1483</v>
      </c>
      <c r="AV1500" t="s">
        <v>136</v>
      </c>
    </row>
    <row r="1501" spans="20:48">
      <c r="T1501" s="79"/>
      <c r="U1501" s="79"/>
      <c r="AT1501" t="s">
        <v>720</v>
      </c>
      <c r="AU1501" s="93">
        <v>1484</v>
      </c>
      <c r="AV1501" t="s">
        <v>131</v>
      </c>
    </row>
    <row r="1502" spans="20:48">
      <c r="T1502" s="79"/>
      <c r="U1502" s="79"/>
      <c r="AT1502" t="s">
        <v>721</v>
      </c>
      <c r="AU1502" s="93">
        <v>1485</v>
      </c>
      <c r="AV1502" t="s">
        <v>117</v>
      </c>
    </row>
    <row r="1503" spans="20:48">
      <c r="T1503" s="79"/>
      <c r="U1503" s="79"/>
      <c r="AT1503" t="s">
        <v>722</v>
      </c>
      <c r="AU1503" s="93">
        <v>1486</v>
      </c>
      <c r="AV1503" t="s">
        <v>129</v>
      </c>
    </row>
    <row r="1504" spans="20:48">
      <c r="T1504" s="79"/>
      <c r="U1504" s="79"/>
      <c r="AT1504" t="s">
        <v>723</v>
      </c>
      <c r="AU1504" s="93">
        <v>1487</v>
      </c>
      <c r="AV1504" t="s">
        <v>134</v>
      </c>
    </row>
    <row r="1505" spans="20:48">
      <c r="T1505" s="79"/>
      <c r="U1505" s="79"/>
      <c r="AT1505" t="s">
        <v>724</v>
      </c>
      <c r="AU1505" s="93">
        <v>1488</v>
      </c>
      <c r="AV1505" t="s">
        <v>115</v>
      </c>
    </row>
    <row r="1506" spans="20:48">
      <c r="T1506" s="79"/>
      <c r="U1506" s="79"/>
      <c r="AT1506" t="s">
        <v>725</v>
      </c>
      <c r="AU1506" s="93">
        <v>1489</v>
      </c>
      <c r="AV1506" t="s">
        <v>118</v>
      </c>
    </row>
    <row r="1507" spans="20:48">
      <c r="T1507" s="79"/>
      <c r="U1507" s="79"/>
      <c r="AT1507" t="s">
        <v>726</v>
      </c>
      <c r="AU1507" s="93">
        <v>1490</v>
      </c>
      <c r="AV1507" t="s">
        <v>138</v>
      </c>
    </row>
    <row r="1508" spans="20:48">
      <c r="T1508" s="79"/>
      <c r="U1508" s="79"/>
      <c r="AT1508" t="s">
        <v>727</v>
      </c>
      <c r="AU1508" s="93">
        <v>1491</v>
      </c>
      <c r="AV1508" t="s">
        <v>120</v>
      </c>
    </row>
    <row r="1509" spans="20:48">
      <c r="T1509" s="79"/>
      <c r="U1509" s="79"/>
      <c r="AT1509" t="s">
        <v>728</v>
      </c>
      <c r="AU1509" s="93">
        <v>1492</v>
      </c>
      <c r="AV1509" t="s">
        <v>114</v>
      </c>
    </row>
    <row r="1510" spans="20:48">
      <c r="T1510" s="79"/>
      <c r="U1510" s="79"/>
      <c r="AT1510" t="s">
        <v>729</v>
      </c>
      <c r="AU1510" s="93">
        <v>1493</v>
      </c>
      <c r="AV1510" t="s">
        <v>730</v>
      </c>
    </row>
    <row r="1511" spans="20:48">
      <c r="T1511" s="79"/>
      <c r="U1511" s="79"/>
      <c r="AT1511" t="s">
        <v>731</v>
      </c>
      <c r="AU1511" s="93">
        <v>1494</v>
      </c>
      <c r="AV1511" t="s">
        <v>149</v>
      </c>
    </row>
    <row r="1512" spans="20:48">
      <c r="T1512" s="79"/>
      <c r="U1512" s="79"/>
      <c r="AT1512" t="s">
        <v>732</v>
      </c>
      <c r="AU1512" s="93">
        <v>1495</v>
      </c>
      <c r="AV1512" t="s">
        <v>111</v>
      </c>
    </row>
    <row r="1513" spans="20:48">
      <c r="T1513" s="79"/>
      <c r="U1513" s="79"/>
      <c r="AT1513" t="s">
        <v>733</v>
      </c>
      <c r="AU1513" s="93">
        <v>1496</v>
      </c>
      <c r="AV1513" t="s">
        <v>138</v>
      </c>
    </row>
    <row r="1514" spans="20:48">
      <c r="T1514" s="79"/>
      <c r="U1514" s="79"/>
      <c r="AT1514" t="s">
        <v>734</v>
      </c>
      <c r="AU1514" s="93">
        <v>1497</v>
      </c>
      <c r="AV1514" t="s">
        <v>121</v>
      </c>
    </row>
    <row r="1515" spans="20:48">
      <c r="T1515" s="79"/>
      <c r="U1515" s="79"/>
      <c r="AT1515" t="s">
        <v>735</v>
      </c>
      <c r="AU1515" s="93">
        <v>1498</v>
      </c>
      <c r="AV1515" t="s">
        <v>128</v>
      </c>
    </row>
    <row r="1516" spans="20:48">
      <c r="T1516" s="79"/>
      <c r="U1516" s="79"/>
      <c r="AT1516" t="s">
        <v>736</v>
      </c>
      <c r="AU1516" s="93">
        <v>1499</v>
      </c>
      <c r="AV1516" t="s">
        <v>140</v>
      </c>
    </row>
    <row r="1517" spans="20:48">
      <c r="T1517" s="79"/>
      <c r="U1517" s="79"/>
      <c r="AT1517" t="s">
        <v>737</v>
      </c>
      <c r="AU1517" s="93">
        <v>1500</v>
      </c>
      <c r="AV1517" t="s">
        <v>129</v>
      </c>
    </row>
    <row r="1518" spans="20:48">
      <c r="T1518" s="79"/>
      <c r="U1518" s="79"/>
      <c r="AT1518" t="s">
        <v>738</v>
      </c>
      <c r="AU1518" s="93">
        <v>1501</v>
      </c>
      <c r="AV1518" t="s">
        <v>120</v>
      </c>
    </row>
    <row r="1519" spans="20:48">
      <c r="T1519" s="79"/>
      <c r="U1519" s="79"/>
      <c r="AT1519" t="s">
        <v>739</v>
      </c>
      <c r="AU1519" s="93">
        <v>1502</v>
      </c>
      <c r="AV1519" t="s">
        <v>115</v>
      </c>
    </row>
    <row r="1520" spans="20:48">
      <c r="T1520" s="79"/>
      <c r="U1520" s="79"/>
      <c r="AT1520" t="s">
        <v>740</v>
      </c>
      <c r="AU1520" s="93">
        <v>1503</v>
      </c>
      <c r="AV1520" t="s">
        <v>111</v>
      </c>
    </row>
    <row r="1521" spans="20:48">
      <c r="T1521" s="79"/>
      <c r="U1521" s="79"/>
      <c r="AT1521" t="s">
        <v>741</v>
      </c>
      <c r="AU1521" s="93">
        <v>1504</v>
      </c>
      <c r="AV1521" t="s">
        <v>150</v>
      </c>
    </row>
    <row r="1522" spans="20:48">
      <c r="T1522" s="79"/>
      <c r="U1522" s="79"/>
      <c r="AT1522" t="s">
        <v>742</v>
      </c>
      <c r="AU1522" s="93">
        <v>1505</v>
      </c>
      <c r="AV1522" t="s">
        <v>129</v>
      </c>
    </row>
    <row r="1523" spans="20:48">
      <c r="T1523" s="79"/>
      <c r="U1523" s="79"/>
      <c r="AT1523" t="s">
        <v>743</v>
      </c>
      <c r="AU1523" s="93">
        <v>1506</v>
      </c>
      <c r="AV1523" t="s">
        <v>114</v>
      </c>
    </row>
    <row r="1524" spans="20:48">
      <c r="T1524" s="79"/>
      <c r="U1524" s="79"/>
      <c r="AT1524" t="s">
        <v>744</v>
      </c>
      <c r="AU1524" s="93">
        <v>1507</v>
      </c>
      <c r="AV1524" t="s">
        <v>111</v>
      </c>
    </row>
    <row r="1525" spans="20:48">
      <c r="T1525" s="79"/>
      <c r="U1525" s="79"/>
      <c r="AT1525" t="s">
        <v>745</v>
      </c>
      <c r="AU1525" s="93">
        <v>1508</v>
      </c>
      <c r="AV1525" t="s">
        <v>134</v>
      </c>
    </row>
    <row r="1526" spans="20:48">
      <c r="T1526" s="79"/>
      <c r="U1526" s="79"/>
      <c r="AT1526" t="s">
        <v>746</v>
      </c>
      <c r="AU1526" s="93">
        <v>1509</v>
      </c>
      <c r="AV1526" t="s">
        <v>133</v>
      </c>
    </row>
    <row r="1527" spans="20:48">
      <c r="T1527" s="79"/>
      <c r="U1527" s="79"/>
      <c r="AT1527" t="s">
        <v>747</v>
      </c>
      <c r="AU1527" s="93">
        <v>1510</v>
      </c>
      <c r="AV1527" t="s">
        <v>132</v>
      </c>
    </row>
    <row r="1528" spans="20:48">
      <c r="T1528" s="79"/>
      <c r="U1528" s="79"/>
      <c r="AT1528" t="s">
        <v>748</v>
      </c>
      <c r="AU1528" s="93">
        <v>1511</v>
      </c>
      <c r="AV1528" t="s">
        <v>148</v>
      </c>
    </row>
    <row r="1529" spans="20:48">
      <c r="T1529" s="79"/>
      <c r="U1529" s="79"/>
      <c r="AT1529" t="s">
        <v>749</v>
      </c>
      <c r="AU1529" s="93">
        <v>1512</v>
      </c>
      <c r="AV1529" t="s">
        <v>123</v>
      </c>
    </row>
    <row r="1530" spans="20:48">
      <c r="T1530" s="79"/>
      <c r="U1530" s="79"/>
      <c r="AT1530" t="s">
        <v>750</v>
      </c>
      <c r="AU1530" s="93">
        <v>1513</v>
      </c>
      <c r="AV1530" t="s">
        <v>111</v>
      </c>
    </row>
    <row r="1531" spans="20:48">
      <c r="T1531" s="79"/>
      <c r="U1531" s="79"/>
      <c r="AT1531" t="s">
        <v>751</v>
      </c>
      <c r="AU1531" s="93">
        <v>1514</v>
      </c>
      <c r="AV1531" t="s">
        <v>119</v>
      </c>
    </row>
    <row r="1532" spans="20:48">
      <c r="T1532" s="79"/>
      <c r="U1532" s="79"/>
      <c r="AT1532" t="s">
        <v>752</v>
      </c>
      <c r="AU1532" s="93">
        <v>1515</v>
      </c>
      <c r="AV1532" t="s">
        <v>117</v>
      </c>
    </row>
    <row r="1533" spans="20:48">
      <c r="T1533" s="79"/>
      <c r="U1533" s="79"/>
      <c r="AT1533" t="s">
        <v>753</v>
      </c>
      <c r="AU1533" s="93">
        <v>1516</v>
      </c>
      <c r="AV1533" t="s">
        <v>154</v>
      </c>
    </row>
    <row r="1534" spans="20:48">
      <c r="T1534" s="79"/>
      <c r="U1534" s="79"/>
      <c r="AT1534" t="s">
        <v>754</v>
      </c>
      <c r="AU1534" s="93">
        <v>1517</v>
      </c>
      <c r="AV1534" t="s">
        <v>111</v>
      </c>
    </row>
    <row r="1535" spans="20:48">
      <c r="T1535" s="79"/>
      <c r="U1535" s="79"/>
      <c r="AT1535" t="s">
        <v>755</v>
      </c>
      <c r="AU1535" s="93">
        <v>1518</v>
      </c>
      <c r="AV1535" t="s">
        <v>111</v>
      </c>
    </row>
    <row r="1536" spans="20:48">
      <c r="T1536" s="79"/>
      <c r="U1536" s="79"/>
      <c r="AT1536" t="s">
        <v>756</v>
      </c>
      <c r="AU1536" s="93">
        <v>1519</v>
      </c>
      <c r="AV1536" t="s">
        <v>150</v>
      </c>
    </row>
    <row r="1537" spans="20:48">
      <c r="T1537" s="79"/>
      <c r="U1537" s="79"/>
      <c r="AT1537" t="s">
        <v>757</v>
      </c>
      <c r="AU1537" s="93">
        <v>1520</v>
      </c>
      <c r="AV1537" t="s">
        <v>111</v>
      </c>
    </row>
    <row r="1538" spans="20:48">
      <c r="T1538" s="79"/>
      <c r="U1538" s="79"/>
      <c r="AT1538" t="s">
        <v>758</v>
      </c>
      <c r="AU1538" s="93">
        <v>1521</v>
      </c>
      <c r="AV1538" t="s">
        <v>131</v>
      </c>
    </row>
    <row r="1539" spans="20:48">
      <c r="T1539" s="79"/>
      <c r="U1539" s="79"/>
      <c r="AT1539" t="s">
        <v>759</v>
      </c>
      <c r="AU1539" s="93">
        <v>1522</v>
      </c>
      <c r="AV1539" t="s">
        <v>184</v>
      </c>
    </row>
    <row r="1540" spans="20:48">
      <c r="T1540" s="79"/>
      <c r="U1540" s="79"/>
      <c r="AT1540" t="s">
        <v>760</v>
      </c>
      <c r="AU1540" s="93">
        <v>1523</v>
      </c>
      <c r="AV1540" t="s">
        <v>130</v>
      </c>
    </row>
    <row r="1541" spans="20:48">
      <c r="T1541" s="79"/>
      <c r="U1541" s="79"/>
      <c r="AT1541" t="s">
        <v>761</v>
      </c>
      <c r="AU1541" s="93">
        <v>1524</v>
      </c>
      <c r="AV1541" t="s">
        <v>762</v>
      </c>
    </row>
    <row r="1542" spans="20:48">
      <c r="T1542" s="79"/>
      <c r="U1542" s="79"/>
      <c r="AT1542" t="s">
        <v>763</v>
      </c>
      <c r="AU1542" s="93">
        <v>1525</v>
      </c>
      <c r="AV1542" t="s">
        <v>134</v>
      </c>
    </row>
    <row r="1543" spans="20:48">
      <c r="T1543" s="79"/>
      <c r="U1543" s="79"/>
      <c r="AT1543" t="s">
        <v>764</v>
      </c>
      <c r="AU1543" s="93">
        <v>1526</v>
      </c>
      <c r="AV1543" t="s">
        <v>127</v>
      </c>
    </row>
    <row r="1544" spans="20:48">
      <c r="T1544" s="79"/>
      <c r="U1544" s="79"/>
      <c r="AT1544" t="s">
        <v>765</v>
      </c>
      <c r="AU1544" s="93">
        <v>1527</v>
      </c>
      <c r="AV1544" t="s">
        <v>114</v>
      </c>
    </row>
    <row r="1545" spans="20:48">
      <c r="T1545" s="79"/>
      <c r="U1545" s="79"/>
      <c r="AT1545" t="s">
        <v>766</v>
      </c>
      <c r="AU1545" s="93">
        <v>1528</v>
      </c>
      <c r="AV1545" t="s">
        <v>113</v>
      </c>
    </row>
    <row r="1546" spans="20:48">
      <c r="T1546" s="79"/>
      <c r="U1546" s="79"/>
      <c r="AT1546" t="s">
        <v>767</v>
      </c>
      <c r="AU1546" s="93">
        <v>1529</v>
      </c>
      <c r="AV1546" t="s">
        <v>114</v>
      </c>
    </row>
    <row r="1547" spans="20:48">
      <c r="T1547" s="79"/>
      <c r="U1547" s="79"/>
      <c r="AT1547" t="s">
        <v>768</v>
      </c>
      <c r="AU1547" s="93">
        <v>1530</v>
      </c>
      <c r="AV1547" t="s">
        <v>120</v>
      </c>
    </row>
    <row r="1548" spans="20:48">
      <c r="T1548" s="79"/>
      <c r="U1548" s="79"/>
      <c r="AT1548" t="s">
        <v>769</v>
      </c>
      <c r="AU1548" s="93">
        <v>1531</v>
      </c>
      <c r="AV1548" t="s">
        <v>139</v>
      </c>
    </row>
    <row r="1549" spans="20:48">
      <c r="T1549" s="79"/>
      <c r="U1549" s="79"/>
      <c r="AT1549" t="s">
        <v>770</v>
      </c>
      <c r="AU1549" s="93">
        <v>1532</v>
      </c>
      <c r="AV1549" t="s">
        <v>115</v>
      </c>
    </row>
    <row r="1550" spans="20:48">
      <c r="T1550" s="79"/>
      <c r="U1550" s="79"/>
      <c r="AT1550" t="s">
        <v>771</v>
      </c>
      <c r="AU1550" s="93">
        <v>1533</v>
      </c>
      <c r="AV1550" t="s">
        <v>123</v>
      </c>
    </row>
    <row r="1551" spans="20:48">
      <c r="T1551" s="79"/>
      <c r="U1551" s="79"/>
      <c r="AT1551" t="s">
        <v>772</v>
      </c>
      <c r="AU1551" s="93">
        <v>1534</v>
      </c>
      <c r="AV1551" t="s">
        <v>129</v>
      </c>
    </row>
    <row r="1552" spans="20:48">
      <c r="T1552" s="79"/>
      <c r="U1552" s="79"/>
      <c r="AT1552" t="s">
        <v>773</v>
      </c>
      <c r="AU1552" s="93">
        <v>1535</v>
      </c>
      <c r="AV1552" t="s">
        <v>120</v>
      </c>
    </row>
    <row r="1553" spans="20:48">
      <c r="T1553" s="79"/>
      <c r="U1553" s="79"/>
      <c r="AT1553" t="s">
        <v>774</v>
      </c>
      <c r="AU1553" s="93">
        <v>1536</v>
      </c>
      <c r="AV1553" t="s">
        <v>114</v>
      </c>
    </row>
    <row r="1554" spans="20:48">
      <c r="T1554" s="79"/>
      <c r="U1554" s="79"/>
      <c r="AT1554" t="s">
        <v>775</v>
      </c>
      <c r="AU1554" s="93">
        <v>1537</v>
      </c>
      <c r="AV1554" t="s">
        <v>139</v>
      </c>
    </row>
    <row r="1555" spans="20:48">
      <c r="T1555" s="79"/>
      <c r="U1555" s="79"/>
      <c r="AT1555" t="s">
        <v>776</v>
      </c>
      <c r="AU1555" s="93">
        <v>1538</v>
      </c>
      <c r="AV1555" t="s">
        <v>111</v>
      </c>
    </row>
    <row r="1556" spans="20:48">
      <c r="T1556" s="79"/>
      <c r="U1556" s="79"/>
      <c r="AT1556" t="s">
        <v>777</v>
      </c>
      <c r="AU1556" s="93">
        <v>1539</v>
      </c>
      <c r="AV1556" t="s">
        <v>118</v>
      </c>
    </row>
    <row r="1557" spans="20:48">
      <c r="T1557" s="79"/>
      <c r="U1557" s="79"/>
      <c r="AT1557" t="s">
        <v>778</v>
      </c>
      <c r="AU1557" s="93">
        <v>1540</v>
      </c>
      <c r="AV1557" t="s">
        <v>123</v>
      </c>
    </row>
    <row r="1558" spans="20:48">
      <c r="T1558" s="79"/>
      <c r="U1558" s="79"/>
      <c r="AT1558" t="s">
        <v>779</v>
      </c>
      <c r="AU1558" s="93">
        <v>1541</v>
      </c>
      <c r="AV1558" t="s">
        <v>132</v>
      </c>
    </row>
    <row r="1559" spans="20:48">
      <c r="T1559" s="79"/>
      <c r="U1559" s="79"/>
      <c r="AT1559" t="s">
        <v>780</v>
      </c>
      <c r="AU1559" s="93">
        <v>1542</v>
      </c>
      <c r="AV1559" t="s">
        <v>111</v>
      </c>
    </row>
    <row r="1560" spans="20:48">
      <c r="T1560" s="79"/>
      <c r="U1560" s="79"/>
      <c r="AT1560" t="s">
        <v>781</v>
      </c>
      <c r="AU1560" s="93">
        <v>1543</v>
      </c>
      <c r="AV1560" t="s">
        <v>123</v>
      </c>
    </row>
    <row r="1561" spans="20:48">
      <c r="T1561" s="79"/>
      <c r="U1561" s="79"/>
      <c r="AT1561" t="s">
        <v>782</v>
      </c>
      <c r="AU1561" s="93">
        <v>1544</v>
      </c>
      <c r="AV1561" t="s">
        <v>129</v>
      </c>
    </row>
    <row r="1562" spans="20:48">
      <c r="T1562" s="79"/>
      <c r="U1562" s="79"/>
      <c r="AT1562" t="s">
        <v>783</v>
      </c>
      <c r="AU1562" s="93">
        <v>1545</v>
      </c>
      <c r="AV1562" t="s">
        <v>120</v>
      </c>
    </row>
    <row r="1563" spans="20:48">
      <c r="T1563" s="79"/>
      <c r="U1563" s="79"/>
      <c r="AT1563" t="s">
        <v>784</v>
      </c>
      <c r="AU1563" s="93">
        <v>1546</v>
      </c>
      <c r="AV1563" t="s">
        <v>132</v>
      </c>
    </row>
    <row r="1564" spans="20:48">
      <c r="T1564" s="79"/>
      <c r="U1564" s="79"/>
      <c r="AT1564" t="s">
        <v>785</v>
      </c>
      <c r="AU1564" s="93">
        <v>1547</v>
      </c>
      <c r="AV1564" t="s">
        <v>120</v>
      </c>
    </row>
    <row r="1565" spans="20:48">
      <c r="T1565" s="79"/>
      <c r="U1565" s="79"/>
      <c r="AT1565" t="s">
        <v>786</v>
      </c>
      <c r="AU1565" s="93">
        <v>1548</v>
      </c>
      <c r="AV1565" t="s">
        <v>121</v>
      </c>
    </row>
    <row r="1566" spans="20:48">
      <c r="T1566" s="79"/>
      <c r="U1566" s="79"/>
      <c r="AT1566" t="s">
        <v>787</v>
      </c>
      <c r="AU1566" s="93">
        <v>1549</v>
      </c>
      <c r="AV1566" t="s">
        <v>131</v>
      </c>
    </row>
    <row r="1567" spans="20:48">
      <c r="T1567" s="79"/>
      <c r="U1567" s="79"/>
      <c r="AT1567" t="s">
        <v>788</v>
      </c>
      <c r="AU1567" s="93">
        <v>1550</v>
      </c>
      <c r="AV1567" t="s">
        <v>111</v>
      </c>
    </row>
    <row r="1568" spans="20:48">
      <c r="T1568" s="79"/>
      <c r="U1568" s="79"/>
      <c r="AT1568" t="s">
        <v>789</v>
      </c>
      <c r="AU1568" s="93">
        <v>1551</v>
      </c>
      <c r="AV1568" t="s">
        <v>130</v>
      </c>
    </row>
    <row r="1569" spans="20:48">
      <c r="T1569" s="79"/>
      <c r="U1569" s="79"/>
      <c r="AT1569" t="s">
        <v>790</v>
      </c>
      <c r="AU1569" s="93">
        <v>1552</v>
      </c>
      <c r="AV1569" t="s">
        <v>145</v>
      </c>
    </row>
    <row r="1570" spans="20:48">
      <c r="T1570" s="79"/>
      <c r="U1570" s="79"/>
      <c r="AT1570" t="s">
        <v>791</v>
      </c>
      <c r="AU1570" s="93">
        <v>1553</v>
      </c>
      <c r="AV1570" t="s">
        <v>154</v>
      </c>
    </row>
    <row r="1571" spans="20:48">
      <c r="T1571" s="79"/>
      <c r="U1571" s="79"/>
      <c r="AT1571" t="s">
        <v>792</v>
      </c>
      <c r="AU1571" s="93">
        <v>1554</v>
      </c>
      <c r="AV1571" t="s">
        <v>592</v>
      </c>
    </row>
    <row r="1572" spans="20:48">
      <c r="T1572" s="79"/>
      <c r="U1572" s="79"/>
      <c r="AT1572" t="s">
        <v>793</v>
      </c>
      <c r="AU1572" s="93">
        <v>1555</v>
      </c>
      <c r="AV1572" t="s">
        <v>123</v>
      </c>
    </row>
    <row r="1573" spans="20:48">
      <c r="T1573" s="79"/>
      <c r="U1573" s="79"/>
      <c r="AT1573" t="s">
        <v>794</v>
      </c>
      <c r="AU1573" s="93">
        <v>1556</v>
      </c>
      <c r="AV1573" t="s">
        <v>111</v>
      </c>
    </row>
    <row r="1574" spans="20:48">
      <c r="T1574" s="79"/>
      <c r="U1574" s="79"/>
      <c r="AT1574" t="s">
        <v>795</v>
      </c>
      <c r="AU1574" s="93">
        <v>1557</v>
      </c>
      <c r="AV1574" t="s">
        <v>129</v>
      </c>
    </row>
    <row r="1575" spans="20:48">
      <c r="T1575" s="79"/>
      <c r="U1575" s="79"/>
      <c r="AT1575" t="s">
        <v>796</v>
      </c>
      <c r="AU1575" s="93">
        <v>1558</v>
      </c>
      <c r="AV1575" t="s">
        <v>136</v>
      </c>
    </row>
    <row r="1576" spans="20:48">
      <c r="T1576" s="79"/>
      <c r="U1576" s="79"/>
      <c r="AT1576" t="s">
        <v>797</v>
      </c>
      <c r="AU1576" s="93">
        <v>1559</v>
      </c>
      <c r="AV1576" t="s">
        <v>130</v>
      </c>
    </row>
    <row r="1577" spans="20:48">
      <c r="T1577" s="79"/>
      <c r="U1577" s="79"/>
      <c r="AT1577" t="s">
        <v>798</v>
      </c>
      <c r="AU1577" s="93">
        <v>1560</v>
      </c>
      <c r="AV1577" t="s">
        <v>120</v>
      </c>
    </row>
    <row r="1578" spans="20:48">
      <c r="T1578" s="79"/>
      <c r="U1578" s="79"/>
      <c r="AT1578" t="s">
        <v>799</v>
      </c>
      <c r="AU1578" s="93">
        <v>1561</v>
      </c>
      <c r="AV1578" t="s">
        <v>148</v>
      </c>
    </row>
    <row r="1579" spans="20:48">
      <c r="T1579" s="79"/>
      <c r="U1579" s="79"/>
      <c r="AT1579" t="s">
        <v>800</v>
      </c>
      <c r="AU1579" s="93">
        <v>1562</v>
      </c>
      <c r="AV1579" t="s">
        <v>120</v>
      </c>
    </row>
    <row r="1580" spans="20:48">
      <c r="T1580" s="79"/>
      <c r="U1580" s="79"/>
      <c r="AT1580" t="s">
        <v>801</v>
      </c>
      <c r="AU1580" s="93">
        <v>1563</v>
      </c>
      <c r="AV1580" t="s">
        <v>131</v>
      </c>
    </row>
    <row r="1581" spans="20:48">
      <c r="T1581" s="79"/>
      <c r="U1581" s="79"/>
      <c r="AT1581" t="s">
        <v>802</v>
      </c>
      <c r="AU1581" s="93">
        <v>1564</v>
      </c>
      <c r="AV1581" t="s">
        <v>154</v>
      </c>
    </row>
    <row r="1582" spans="20:48">
      <c r="T1582" s="79"/>
      <c r="U1582" s="79"/>
      <c r="AT1582" t="s">
        <v>803</v>
      </c>
      <c r="AU1582" s="93">
        <v>1565</v>
      </c>
      <c r="AV1582" t="s">
        <v>122</v>
      </c>
    </row>
    <row r="1583" spans="20:48">
      <c r="T1583" s="79"/>
      <c r="U1583" s="79"/>
      <c r="AT1583" t="s">
        <v>804</v>
      </c>
      <c r="AU1583" s="93">
        <v>1566</v>
      </c>
      <c r="AV1583" t="s">
        <v>117</v>
      </c>
    </row>
    <row r="1584" spans="20:48">
      <c r="T1584" s="79"/>
      <c r="U1584" s="79"/>
      <c r="AT1584" t="s">
        <v>805</v>
      </c>
      <c r="AU1584" s="93">
        <v>1567</v>
      </c>
      <c r="AV1584" t="s">
        <v>111</v>
      </c>
    </row>
    <row r="1585" spans="20:48">
      <c r="T1585" s="79"/>
      <c r="U1585" s="79"/>
      <c r="AT1585" t="s">
        <v>806</v>
      </c>
      <c r="AU1585" s="93">
        <v>1568</v>
      </c>
      <c r="AV1585" t="s">
        <v>111</v>
      </c>
    </row>
    <row r="1586" spans="20:48">
      <c r="T1586" s="79"/>
      <c r="U1586" s="79"/>
      <c r="AT1586" t="s">
        <v>807</v>
      </c>
      <c r="AU1586" s="93">
        <v>1569</v>
      </c>
      <c r="AV1586" t="s">
        <v>140</v>
      </c>
    </row>
    <row r="1587" spans="20:48">
      <c r="T1587" s="79"/>
      <c r="U1587" s="79"/>
      <c r="AT1587" t="s">
        <v>808</v>
      </c>
      <c r="AU1587" s="93">
        <v>1570</v>
      </c>
      <c r="AV1587" t="s">
        <v>114</v>
      </c>
    </row>
    <row r="1588" spans="20:48">
      <c r="T1588" s="79"/>
      <c r="U1588" s="79"/>
      <c r="AT1588" t="s">
        <v>809</v>
      </c>
      <c r="AU1588" s="93">
        <v>1571</v>
      </c>
      <c r="AV1588" t="s">
        <v>117</v>
      </c>
    </row>
    <row r="1589" spans="20:48">
      <c r="T1589" s="79"/>
      <c r="U1589" s="79"/>
      <c r="AT1589" t="s">
        <v>810</v>
      </c>
      <c r="AU1589" s="93">
        <v>1572</v>
      </c>
      <c r="AV1589" t="s">
        <v>114</v>
      </c>
    </row>
    <row r="1590" spans="20:48">
      <c r="T1590" s="79"/>
      <c r="U1590" s="79"/>
      <c r="AT1590" t="s">
        <v>811</v>
      </c>
      <c r="AU1590" s="93">
        <v>1573</v>
      </c>
      <c r="AV1590" t="s">
        <v>150</v>
      </c>
    </row>
    <row r="1591" spans="20:48">
      <c r="T1591" s="79"/>
      <c r="U1591" s="79"/>
      <c r="AT1591" t="s">
        <v>812</v>
      </c>
      <c r="AU1591" s="93">
        <v>1574</v>
      </c>
      <c r="AV1591" t="s">
        <v>111</v>
      </c>
    </row>
    <row r="1592" spans="20:48">
      <c r="T1592" s="79"/>
      <c r="U1592" s="79"/>
      <c r="AT1592" t="s">
        <v>813</v>
      </c>
      <c r="AU1592" s="93">
        <v>1575</v>
      </c>
      <c r="AV1592" t="s">
        <v>150</v>
      </c>
    </row>
    <row r="1593" spans="20:48">
      <c r="T1593" s="79"/>
      <c r="U1593" s="79"/>
      <c r="AT1593" t="s">
        <v>814</v>
      </c>
      <c r="AU1593" s="93">
        <v>1576</v>
      </c>
      <c r="AV1593" t="s">
        <v>115</v>
      </c>
    </row>
    <row r="1594" spans="20:48">
      <c r="T1594" s="79"/>
      <c r="U1594" s="79"/>
      <c r="AT1594" t="s">
        <v>815</v>
      </c>
      <c r="AU1594" s="93">
        <v>1577</v>
      </c>
      <c r="AV1594" t="s">
        <v>124</v>
      </c>
    </row>
    <row r="1595" spans="20:48">
      <c r="T1595" s="79"/>
      <c r="U1595" s="79"/>
      <c r="AT1595" t="s">
        <v>816</v>
      </c>
      <c r="AU1595" s="93">
        <v>1578</v>
      </c>
      <c r="AV1595" t="s">
        <v>151</v>
      </c>
    </row>
    <row r="1596" spans="20:48">
      <c r="T1596" s="79"/>
      <c r="U1596" s="79"/>
      <c r="AT1596" t="s">
        <v>817</v>
      </c>
      <c r="AU1596" s="93">
        <v>1579</v>
      </c>
      <c r="AV1596" t="s">
        <v>113</v>
      </c>
    </row>
    <row r="1597" spans="20:48">
      <c r="T1597" s="79"/>
      <c r="U1597" s="79"/>
      <c r="AT1597" t="s">
        <v>818</v>
      </c>
      <c r="AU1597" s="93">
        <v>1580</v>
      </c>
      <c r="AV1597" t="s">
        <v>115</v>
      </c>
    </row>
    <row r="1598" spans="20:48">
      <c r="T1598" s="79"/>
      <c r="U1598" s="79"/>
      <c r="AT1598" t="s">
        <v>819</v>
      </c>
      <c r="AU1598" s="93">
        <v>1581</v>
      </c>
      <c r="AV1598" t="s">
        <v>114</v>
      </c>
    </row>
    <row r="1599" spans="20:48">
      <c r="T1599" s="79"/>
      <c r="U1599" s="79"/>
      <c r="AT1599" t="s">
        <v>820</v>
      </c>
      <c r="AU1599" s="93">
        <v>1582</v>
      </c>
      <c r="AV1599" t="s">
        <v>111</v>
      </c>
    </row>
    <row r="1600" spans="20:48">
      <c r="T1600" s="79"/>
      <c r="U1600" s="79"/>
      <c r="AT1600" t="s">
        <v>821</v>
      </c>
      <c r="AU1600" s="93">
        <v>1583</v>
      </c>
      <c r="AV1600" t="s">
        <v>117</v>
      </c>
    </row>
    <row r="1601" spans="20:48">
      <c r="T1601" s="79"/>
      <c r="U1601" s="79"/>
      <c r="AT1601" t="s">
        <v>822</v>
      </c>
      <c r="AU1601" s="93">
        <v>1584</v>
      </c>
      <c r="AV1601" t="s">
        <v>118</v>
      </c>
    </row>
    <row r="1602" spans="20:48">
      <c r="T1602" s="79"/>
      <c r="U1602" s="79"/>
      <c r="AT1602" t="s">
        <v>823</v>
      </c>
      <c r="AU1602" s="93">
        <v>1585</v>
      </c>
      <c r="AV1602" t="s">
        <v>114</v>
      </c>
    </row>
    <row r="1603" spans="20:48">
      <c r="T1603" s="79"/>
      <c r="U1603" s="79"/>
      <c r="AT1603" t="s">
        <v>824</v>
      </c>
      <c r="AU1603" s="93">
        <v>1586</v>
      </c>
      <c r="AV1603" t="s">
        <v>115</v>
      </c>
    </row>
    <row r="1604" spans="20:48">
      <c r="T1604" s="79"/>
      <c r="U1604" s="79"/>
      <c r="AT1604" t="s">
        <v>825</v>
      </c>
      <c r="AU1604" s="93">
        <v>1587</v>
      </c>
      <c r="AV1604" t="s">
        <v>115</v>
      </c>
    </row>
    <row r="1605" spans="20:48">
      <c r="T1605" s="79"/>
      <c r="U1605" s="79"/>
      <c r="AT1605" t="s">
        <v>826</v>
      </c>
      <c r="AU1605" s="93">
        <v>1588</v>
      </c>
      <c r="AV1605" t="s">
        <v>120</v>
      </c>
    </row>
    <row r="1606" spans="20:48">
      <c r="T1606" s="79"/>
      <c r="U1606" s="79"/>
      <c r="AT1606" t="s">
        <v>827</v>
      </c>
      <c r="AU1606" s="93">
        <v>1589</v>
      </c>
      <c r="AV1606" t="s">
        <v>136</v>
      </c>
    </row>
    <row r="1607" spans="20:48">
      <c r="T1607" s="79"/>
      <c r="U1607" s="79"/>
      <c r="AT1607" t="s">
        <v>828</v>
      </c>
      <c r="AU1607" s="93">
        <v>1590</v>
      </c>
      <c r="AV1607" t="s">
        <v>111</v>
      </c>
    </row>
    <row r="1608" spans="20:48">
      <c r="T1608" s="79"/>
      <c r="U1608" s="79"/>
      <c r="AT1608" t="s">
        <v>829</v>
      </c>
      <c r="AU1608" s="93">
        <v>1591</v>
      </c>
      <c r="AV1608" t="s">
        <v>115</v>
      </c>
    </row>
    <row r="1609" spans="20:48">
      <c r="T1609" s="79"/>
      <c r="U1609" s="79"/>
      <c r="AT1609" t="s">
        <v>830</v>
      </c>
      <c r="AU1609" s="93">
        <v>1592</v>
      </c>
      <c r="AV1609" t="s">
        <v>144</v>
      </c>
    </row>
    <row r="1610" spans="20:48">
      <c r="T1610" s="79"/>
      <c r="U1610" s="79"/>
      <c r="AT1610" t="s">
        <v>831</v>
      </c>
      <c r="AU1610" s="93">
        <v>1593</v>
      </c>
      <c r="AV1610" t="s">
        <v>133</v>
      </c>
    </row>
    <row r="1611" spans="20:48">
      <c r="T1611" s="79"/>
      <c r="U1611" s="79"/>
      <c r="AT1611" t="s">
        <v>832</v>
      </c>
      <c r="AU1611" s="93">
        <v>1594</v>
      </c>
      <c r="AV1611" t="s">
        <v>120</v>
      </c>
    </row>
    <row r="1612" spans="20:48">
      <c r="T1612" s="79"/>
      <c r="U1612" s="79"/>
      <c r="AT1612" t="s">
        <v>833</v>
      </c>
      <c r="AU1612" s="93">
        <v>1595</v>
      </c>
      <c r="AV1612" t="s">
        <v>150</v>
      </c>
    </row>
    <row r="1613" spans="20:48">
      <c r="T1613" s="79"/>
      <c r="U1613" s="79"/>
      <c r="AT1613" t="s">
        <v>834</v>
      </c>
      <c r="AU1613" s="93">
        <v>1596</v>
      </c>
      <c r="AV1613" t="s">
        <v>120</v>
      </c>
    </row>
    <row r="1614" spans="20:48">
      <c r="T1614" s="79"/>
      <c r="U1614" s="79"/>
      <c r="AT1614" t="s">
        <v>835</v>
      </c>
      <c r="AU1614" s="93">
        <v>1597</v>
      </c>
      <c r="AV1614" t="s">
        <v>123</v>
      </c>
    </row>
    <row r="1615" spans="20:48">
      <c r="T1615" s="79"/>
      <c r="U1615" s="79"/>
      <c r="AT1615" t="s">
        <v>836</v>
      </c>
      <c r="AU1615" s="93">
        <v>1598</v>
      </c>
      <c r="AV1615" t="s">
        <v>130</v>
      </c>
    </row>
    <row r="1616" spans="20:48">
      <c r="T1616" s="79"/>
      <c r="U1616" s="79"/>
      <c r="AT1616" t="s">
        <v>837</v>
      </c>
      <c r="AU1616" s="93">
        <v>1599</v>
      </c>
      <c r="AV1616" t="s">
        <v>111</v>
      </c>
    </row>
    <row r="1617" spans="20:48">
      <c r="T1617" s="79"/>
      <c r="U1617" s="79"/>
      <c r="AT1617" t="s">
        <v>838</v>
      </c>
      <c r="AU1617" s="93">
        <v>1600</v>
      </c>
      <c r="AV1617" t="s">
        <v>111</v>
      </c>
    </row>
    <row r="1618" spans="20:48">
      <c r="T1618" s="79"/>
      <c r="U1618" s="79"/>
      <c r="AT1618" t="s">
        <v>839</v>
      </c>
      <c r="AU1618" s="93">
        <v>1601</v>
      </c>
      <c r="AV1618" t="s">
        <v>117</v>
      </c>
    </row>
    <row r="1619" spans="20:48">
      <c r="T1619" s="79"/>
      <c r="U1619" s="79"/>
      <c r="AT1619" t="s">
        <v>840</v>
      </c>
      <c r="AU1619" s="93">
        <v>1602</v>
      </c>
      <c r="AV1619" t="s">
        <v>134</v>
      </c>
    </row>
    <row r="1620" spans="20:48">
      <c r="T1620" s="79"/>
      <c r="U1620" s="79"/>
      <c r="AT1620" t="s">
        <v>841</v>
      </c>
      <c r="AU1620" s="93">
        <v>1603</v>
      </c>
      <c r="AV1620" t="s">
        <v>127</v>
      </c>
    </row>
    <row r="1621" spans="20:48">
      <c r="T1621" s="79"/>
      <c r="U1621" s="79"/>
      <c r="AT1621" t="s">
        <v>842</v>
      </c>
      <c r="AU1621" s="93">
        <v>1604</v>
      </c>
      <c r="AV1621" t="s">
        <v>141</v>
      </c>
    </row>
    <row r="1622" spans="20:48">
      <c r="T1622" s="79"/>
      <c r="U1622" s="79"/>
      <c r="AT1622" t="s">
        <v>843</v>
      </c>
      <c r="AU1622" s="93">
        <v>1605</v>
      </c>
      <c r="AV1622" t="s">
        <v>111</v>
      </c>
    </row>
    <row r="1623" spans="20:48">
      <c r="T1623" s="79"/>
      <c r="U1623" s="79"/>
      <c r="AT1623" t="s">
        <v>844</v>
      </c>
      <c r="AU1623" s="93">
        <v>1606</v>
      </c>
      <c r="AV1623" t="s">
        <v>114</v>
      </c>
    </row>
    <row r="1624" spans="20:48">
      <c r="T1624" s="79"/>
      <c r="U1624" s="79"/>
      <c r="AT1624" t="s">
        <v>845</v>
      </c>
      <c r="AU1624" s="93">
        <v>1607</v>
      </c>
      <c r="AV1624" t="s">
        <v>117</v>
      </c>
    </row>
    <row r="1625" spans="20:48">
      <c r="T1625" s="79"/>
      <c r="U1625" s="79"/>
      <c r="AT1625" t="s">
        <v>846</v>
      </c>
      <c r="AU1625" s="93">
        <v>1608</v>
      </c>
      <c r="AV1625" t="s">
        <v>139</v>
      </c>
    </row>
    <row r="1626" spans="20:48">
      <c r="T1626" s="79"/>
      <c r="U1626" s="79"/>
      <c r="AT1626" t="s">
        <v>847</v>
      </c>
      <c r="AU1626" s="93">
        <v>1609</v>
      </c>
      <c r="AV1626" t="s">
        <v>111</v>
      </c>
    </row>
    <row r="1627" spans="20:48">
      <c r="T1627" s="79"/>
      <c r="U1627" s="79"/>
      <c r="AT1627" t="s">
        <v>848</v>
      </c>
      <c r="AU1627" s="93">
        <v>1610</v>
      </c>
      <c r="AV1627" t="s">
        <v>114</v>
      </c>
    </row>
    <row r="1628" spans="20:48">
      <c r="T1628" s="79"/>
      <c r="U1628" s="79"/>
      <c r="AT1628" t="s">
        <v>849</v>
      </c>
      <c r="AU1628" s="93">
        <v>1611</v>
      </c>
      <c r="AV1628" t="s">
        <v>111</v>
      </c>
    </row>
    <row r="1629" spans="20:48">
      <c r="T1629" s="79"/>
      <c r="U1629" s="79"/>
      <c r="AT1629" t="s">
        <v>850</v>
      </c>
      <c r="AU1629" s="93">
        <v>1612</v>
      </c>
      <c r="AV1629" t="s">
        <v>132</v>
      </c>
    </row>
    <row r="1630" spans="20:48">
      <c r="T1630" s="79"/>
      <c r="U1630" s="79"/>
      <c r="AT1630" t="s">
        <v>851</v>
      </c>
      <c r="AU1630" s="93">
        <v>1613</v>
      </c>
      <c r="AV1630" t="s">
        <v>130</v>
      </c>
    </row>
    <row r="1631" spans="20:48">
      <c r="T1631" s="79"/>
      <c r="U1631" s="79"/>
      <c r="AT1631" t="s">
        <v>852</v>
      </c>
      <c r="AU1631" s="93">
        <v>1614</v>
      </c>
      <c r="AV1631" t="s">
        <v>138</v>
      </c>
    </row>
    <row r="1632" spans="20:48">
      <c r="T1632" s="79"/>
      <c r="U1632" s="79"/>
      <c r="AT1632" t="s">
        <v>853</v>
      </c>
      <c r="AU1632" s="93">
        <v>1615</v>
      </c>
      <c r="AV1632" t="s">
        <v>111</v>
      </c>
    </row>
    <row r="1633" spans="20:48">
      <c r="T1633" s="79"/>
      <c r="U1633" s="79"/>
      <c r="AT1633" t="s">
        <v>854</v>
      </c>
      <c r="AU1633" s="93">
        <v>1616</v>
      </c>
      <c r="AV1633" t="s">
        <v>120</v>
      </c>
    </row>
    <row r="1634" spans="20:48">
      <c r="T1634" s="79"/>
      <c r="U1634" s="79"/>
      <c r="AT1634" t="s">
        <v>855</v>
      </c>
      <c r="AU1634" s="93">
        <v>1617</v>
      </c>
      <c r="AV1634" t="s">
        <v>123</v>
      </c>
    </row>
    <row r="1635" spans="20:48">
      <c r="T1635" s="79"/>
      <c r="U1635" s="79"/>
      <c r="AT1635" t="s">
        <v>856</v>
      </c>
      <c r="AU1635" s="93">
        <v>1618</v>
      </c>
      <c r="AV1635" t="s">
        <v>111</v>
      </c>
    </row>
    <row r="1636" spans="20:48">
      <c r="T1636" s="79"/>
      <c r="U1636" s="79"/>
      <c r="AT1636" t="s">
        <v>857</v>
      </c>
      <c r="AU1636" s="93">
        <v>1619</v>
      </c>
      <c r="AV1636" t="s">
        <v>120</v>
      </c>
    </row>
    <row r="1637" spans="20:48">
      <c r="T1637" s="79"/>
      <c r="U1637" s="79"/>
      <c r="AT1637" t="s">
        <v>858</v>
      </c>
      <c r="AU1637" s="93">
        <v>1620</v>
      </c>
      <c r="AV1637" t="s">
        <v>123</v>
      </c>
    </row>
    <row r="1638" spans="20:48">
      <c r="T1638" s="79"/>
      <c r="U1638" s="79"/>
      <c r="AT1638" t="s">
        <v>859</v>
      </c>
      <c r="AU1638" s="93">
        <v>1621</v>
      </c>
      <c r="AV1638" t="s">
        <v>132</v>
      </c>
    </row>
    <row r="1639" spans="20:48">
      <c r="T1639" s="79"/>
      <c r="U1639" s="79"/>
      <c r="AT1639" t="s">
        <v>860</v>
      </c>
      <c r="AU1639" s="93">
        <v>1622</v>
      </c>
      <c r="AV1639" t="s">
        <v>112</v>
      </c>
    </row>
    <row r="1640" spans="20:48">
      <c r="T1640" s="79"/>
      <c r="U1640" s="79"/>
      <c r="AT1640" t="s">
        <v>861</v>
      </c>
      <c r="AU1640" s="93">
        <v>1623</v>
      </c>
      <c r="AV1640" t="s">
        <v>136</v>
      </c>
    </row>
    <row r="1641" spans="20:48">
      <c r="T1641" s="79"/>
      <c r="U1641" s="79"/>
      <c r="AT1641" t="s">
        <v>862</v>
      </c>
      <c r="AU1641" s="93">
        <v>1624</v>
      </c>
      <c r="AV1641" t="s">
        <v>120</v>
      </c>
    </row>
    <row r="1642" spans="20:48">
      <c r="T1642" s="79"/>
      <c r="U1642" s="79"/>
      <c r="AT1642" t="s">
        <v>863</v>
      </c>
      <c r="AU1642" s="93">
        <v>1625</v>
      </c>
      <c r="AV1642" t="s">
        <v>123</v>
      </c>
    </row>
    <row r="1643" spans="20:48">
      <c r="T1643" s="79"/>
      <c r="U1643" s="79"/>
      <c r="AT1643" t="s">
        <v>864</v>
      </c>
      <c r="AU1643" s="93">
        <v>1626</v>
      </c>
      <c r="AV1643" t="s">
        <v>111</v>
      </c>
    </row>
    <row r="1644" spans="20:48">
      <c r="T1644" s="79"/>
      <c r="U1644" s="79"/>
      <c r="AT1644" t="s">
        <v>865</v>
      </c>
      <c r="AU1644" s="93">
        <v>1627</v>
      </c>
      <c r="AV1644" t="s">
        <v>140</v>
      </c>
    </row>
    <row r="1645" spans="20:48">
      <c r="T1645" s="79"/>
      <c r="U1645" s="79"/>
      <c r="AT1645" t="s">
        <v>866</v>
      </c>
      <c r="AU1645" s="93">
        <v>1628</v>
      </c>
      <c r="AV1645" t="s">
        <v>127</v>
      </c>
    </row>
    <row r="1646" spans="20:48">
      <c r="T1646" s="79"/>
      <c r="U1646" s="79"/>
      <c r="AT1646" t="s">
        <v>867</v>
      </c>
      <c r="AU1646" s="93">
        <v>1629</v>
      </c>
      <c r="AV1646" t="s">
        <v>114</v>
      </c>
    </row>
    <row r="1647" spans="20:48">
      <c r="T1647" s="79"/>
      <c r="U1647" s="79"/>
      <c r="AT1647" t="s">
        <v>868</v>
      </c>
      <c r="AU1647" s="93">
        <v>1630</v>
      </c>
      <c r="AV1647" t="s">
        <v>111</v>
      </c>
    </row>
    <row r="1648" spans="20:48">
      <c r="T1648" s="79"/>
      <c r="U1648" s="79"/>
      <c r="AT1648" t="s">
        <v>869</v>
      </c>
      <c r="AU1648" s="93">
        <v>1631</v>
      </c>
      <c r="AV1648" t="s">
        <v>112</v>
      </c>
    </row>
    <row r="1649" spans="20:48">
      <c r="T1649" s="79"/>
      <c r="U1649" s="79"/>
      <c r="AT1649" t="s">
        <v>870</v>
      </c>
      <c r="AU1649" s="93">
        <v>1632</v>
      </c>
      <c r="AV1649" t="s">
        <v>120</v>
      </c>
    </row>
    <row r="1650" spans="20:48">
      <c r="T1650" s="79"/>
      <c r="U1650" s="79"/>
      <c r="AT1650" t="s">
        <v>871</v>
      </c>
      <c r="AU1650" s="93">
        <v>1633</v>
      </c>
      <c r="AV1650" t="s">
        <v>129</v>
      </c>
    </row>
    <row r="1651" spans="20:48">
      <c r="T1651" s="79"/>
      <c r="U1651" s="79"/>
      <c r="AT1651" t="s">
        <v>872</v>
      </c>
      <c r="AU1651" s="93">
        <v>1634</v>
      </c>
      <c r="AV1651" t="s">
        <v>117</v>
      </c>
    </row>
    <row r="1652" spans="20:48">
      <c r="T1652" s="79"/>
      <c r="U1652" s="79"/>
      <c r="AT1652" t="s">
        <v>873</v>
      </c>
      <c r="AU1652" s="93">
        <v>1635</v>
      </c>
      <c r="AV1652" t="s">
        <v>874</v>
      </c>
    </row>
    <row r="1653" spans="20:48">
      <c r="T1653" s="79"/>
      <c r="U1653" s="79"/>
      <c r="AT1653" t="s">
        <v>875</v>
      </c>
      <c r="AU1653" s="93">
        <v>1636</v>
      </c>
      <c r="AV1653" t="s">
        <v>132</v>
      </c>
    </row>
    <row r="1654" spans="20:48">
      <c r="T1654" s="79"/>
      <c r="U1654" s="79"/>
      <c r="AT1654" t="s">
        <v>876</v>
      </c>
      <c r="AU1654" s="93">
        <v>1637</v>
      </c>
      <c r="AV1654" t="s">
        <v>136</v>
      </c>
    </row>
    <row r="1655" spans="20:48">
      <c r="T1655" s="79"/>
      <c r="U1655" s="79"/>
      <c r="AT1655" t="s">
        <v>877</v>
      </c>
      <c r="AU1655" s="93">
        <v>1638</v>
      </c>
      <c r="AV1655" t="s">
        <v>147</v>
      </c>
    </row>
    <row r="1656" spans="20:48">
      <c r="T1656" s="79"/>
      <c r="U1656" s="79"/>
      <c r="AT1656" t="s">
        <v>878</v>
      </c>
      <c r="AU1656" s="93">
        <v>1639</v>
      </c>
      <c r="AV1656" t="s">
        <v>157</v>
      </c>
    </row>
    <row r="1657" spans="20:48">
      <c r="T1657" s="79"/>
      <c r="U1657" s="79"/>
      <c r="AT1657" t="s">
        <v>879</v>
      </c>
      <c r="AU1657" s="93">
        <v>1640</v>
      </c>
      <c r="AV1657" t="s">
        <v>117</v>
      </c>
    </row>
    <row r="1658" spans="20:48">
      <c r="T1658" s="79"/>
      <c r="U1658" s="79"/>
      <c r="AT1658" t="s">
        <v>880</v>
      </c>
      <c r="AU1658" s="93">
        <v>1641</v>
      </c>
      <c r="AV1658" t="s">
        <v>120</v>
      </c>
    </row>
    <row r="1659" spans="20:48">
      <c r="T1659" s="79"/>
      <c r="U1659" s="79"/>
      <c r="AT1659" t="s">
        <v>881</v>
      </c>
      <c r="AU1659" s="93">
        <v>1642</v>
      </c>
      <c r="AV1659" t="s">
        <v>115</v>
      </c>
    </row>
    <row r="1660" spans="20:48">
      <c r="T1660" s="79"/>
      <c r="U1660" s="79"/>
      <c r="AT1660" t="s">
        <v>882</v>
      </c>
      <c r="AU1660" s="93">
        <v>1643</v>
      </c>
      <c r="AV1660" t="s">
        <v>114</v>
      </c>
    </row>
    <row r="1661" spans="20:48">
      <c r="T1661" s="79"/>
      <c r="U1661" s="79"/>
      <c r="AT1661" t="s">
        <v>883</v>
      </c>
      <c r="AU1661" s="93">
        <v>1644</v>
      </c>
      <c r="AV1661" t="s">
        <v>123</v>
      </c>
    </row>
    <row r="1662" spans="20:48">
      <c r="T1662" s="79"/>
      <c r="U1662" s="79"/>
      <c r="AT1662" t="s">
        <v>884</v>
      </c>
      <c r="AU1662" s="93">
        <v>1645</v>
      </c>
      <c r="AV1662" t="s">
        <v>114</v>
      </c>
    </row>
    <row r="1663" spans="20:48">
      <c r="T1663" s="79"/>
      <c r="U1663" s="79"/>
      <c r="AT1663" t="s">
        <v>885</v>
      </c>
      <c r="AU1663" s="93">
        <v>1646</v>
      </c>
      <c r="AV1663" t="s">
        <v>132</v>
      </c>
    </row>
    <row r="1664" spans="20:48">
      <c r="T1664" s="79"/>
      <c r="U1664" s="79"/>
      <c r="AT1664" t="s">
        <v>886</v>
      </c>
      <c r="AU1664" s="93">
        <v>1647</v>
      </c>
      <c r="AV1664" t="s">
        <v>115</v>
      </c>
    </row>
    <row r="1665" spans="20:48">
      <c r="T1665" s="79"/>
      <c r="U1665" s="79"/>
      <c r="AT1665" t="s">
        <v>887</v>
      </c>
      <c r="AU1665" s="93">
        <v>1648</v>
      </c>
      <c r="AV1665" t="s">
        <v>117</v>
      </c>
    </row>
    <row r="1666" spans="20:48">
      <c r="T1666" s="79"/>
      <c r="U1666" s="79"/>
      <c r="AT1666" t="s">
        <v>888</v>
      </c>
      <c r="AU1666" s="93">
        <v>1649</v>
      </c>
      <c r="AV1666" t="s">
        <v>114</v>
      </c>
    </row>
    <row r="1667" spans="20:48">
      <c r="T1667" s="79"/>
      <c r="U1667" s="79"/>
      <c r="AT1667" t="s">
        <v>889</v>
      </c>
      <c r="AU1667" s="93">
        <v>1650</v>
      </c>
      <c r="AV1667" t="s">
        <v>123</v>
      </c>
    </row>
    <row r="1668" spans="20:48">
      <c r="T1668" s="79"/>
      <c r="U1668" s="79"/>
      <c r="AT1668" t="s">
        <v>890</v>
      </c>
      <c r="AU1668" s="93">
        <v>1651</v>
      </c>
      <c r="AV1668" t="s">
        <v>117</v>
      </c>
    </row>
    <row r="1669" spans="20:48">
      <c r="T1669" s="79"/>
      <c r="U1669" s="79"/>
      <c r="AT1669" t="s">
        <v>891</v>
      </c>
      <c r="AU1669" s="93">
        <v>1652</v>
      </c>
      <c r="AV1669" t="s">
        <v>121</v>
      </c>
    </row>
    <row r="1670" spans="20:48">
      <c r="T1670" s="79"/>
      <c r="U1670" s="79"/>
      <c r="AT1670" t="s">
        <v>892</v>
      </c>
      <c r="AU1670" s="93">
        <v>1653</v>
      </c>
      <c r="AV1670" t="s">
        <v>117</v>
      </c>
    </row>
    <row r="1671" spans="20:48">
      <c r="T1671" s="79"/>
      <c r="U1671" s="79"/>
      <c r="AT1671" t="s">
        <v>893</v>
      </c>
      <c r="AU1671" s="93">
        <v>1654</v>
      </c>
      <c r="AV1671" t="s">
        <v>114</v>
      </c>
    </row>
    <row r="1672" spans="20:48">
      <c r="T1672" s="79"/>
      <c r="U1672" s="79"/>
      <c r="AT1672" t="s">
        <v>894</v>
      </c>
      <c r="AU1672" s="93">
        <v>1655</v>
      </c>
      <c r="AV1672" t="s">
        <v>895</v>
      </c>
    </row>
    <row r="1673" spans="20:48">
      <c r="T1673" s="79"/>
      <c r="U1673" s="79"/>
      <c r="AT1673" t="s">
        <v>896</v>
      </c>
      <c r="AU1673" s="93">
        <v>1656</v>
      </c>
      <c r="AV1673" t="s">
        <v>897</v>
      </c>
    </row>
    <row r="1674" spans="20:48">
      <c r="T1674" s="79"/>
      <c r="U1674" s="79"/>
      <c r="AT1674" t="s">
        <v>898</v>
      </c>
      <c r="AU1674" s="93">
        <v>1657</v>
      </c>
      <c r="AV1674" t="s">
        <v>114</v>
      </c>
    </row>
    <row r="1675" spans="20:48">
      <c r="T1675" s="79"/>
      <c r="U1675" s="79"/>
      <c r="AT1675" t="s">
        <v>899</v>
      </c>
      <c r="AU1675" s="93">
        <v>1658</v>
      </c>
      <c r="AV1675" t="s">
        <v>132</v>
      </c>
    </row>
    <row r="1676" spans="20:48">
      <c r="T1676" s="79"/>
      <c r="U1676" s="79"/>
      <c r="AT1676" t="s">
        <v>900</v>
      </c>
      <c r="AU1676" s="93">
        <v>1659</v>
      </c>
      <c r="AV1676" t="s">
        <v>132</v>
      </c>
    </row>
    <row r="1677" spans="20:48">
      <c r="T1677" s="79"/>
      <c r="U1677" s="79"/>
      <c r="AT1677" t="s">
        <v>901</v>
      </c>
      <c r="AU1677" s="93">
        <v>1660</v>
      </c>
      <c r="AV1677" t="s">
        <v>114</v>
      </c>
    </row>
    <row r="1678" spans="20:48">
      <c r="T1678" s="79"/>
      <c r="U1678" s="79"/>
      <c r="AT1678" t="s">
        <v>902</v>
      </c>
      <c r="AU1678" s="93">
        <v>1661</v>
      </c>
      <c r="AV1678" t="s">
        <v>129</v>
      </c>
    </row>
    <row r="1679" spans="20:48">
      <c r="T1679" s="79"/>
      <c r="U1679" s="79"/>
      <c r="AT1679" t="s">
        <v>903</v>
      </c>
      <c r="AU1679" s="93">
        <v>1662</v>
      </c>
      <c r="AV1679" t="s">
        <v>111</v>
      </c>
    </row>
    <row r="1680" spans="20:48">
      <c r="T1680" s="79"/>
      <c r="U1680" s="79"/>
      <c r="AT1680" t="s">
        <v>904</v>
      </c>
      <c r="AU1680" s="93">
        <v>1663</v>
      </c>
      <c r="AV1680" t="s">
        <v>134</v>
      </c>
    </row>
    <row r="1681" spans="20:48">
      <c r="T1681" s="79"/>
      <c r="U1681" s="79"/>
      <c r="AT1681" t="s">
        <v>905</v>
      </c>
      <c r="AU1681" s="93">
        <v>1664</v>
      </c>
      <c r="AV1681" t="s">
        <v>111</v>
      </c>
    </row>
    <row r="1682" spans="20:48">
      <c r="T1682" s="79"/>
      <c r="U1682" s="79"/>
      <c r="AT1682" t="s">
        <v>906</v>
      </c>
      <c r="AU1682" s="93">
        <v>1665</v>
      </c>
      <c r="AV1682" t="s">
        <v>157</v>
      </c>
    </row>
    <row r="1683" spans="20:48">
      <c r="T1683" s="79"/>
      <c r="U1683" s="79"/>
      <c r="AT1683" t="s">
        <v>907</v>
      </c>
      <c r="AU1683" s="93">
        <v>1666</v>
      </c>
      <c r="AV1683" t="s">
        <v>111</v>
      </c>
    </row>
    <row r="1684" spans="20:48">
      <c r="T1684" s="79"/>
      <c r="U1684" s="79"/>
      <c r="AT1684" t="s">
        <v>908</v>
      </c>
      <c r="AU1684" s="93">
        <v>1667</v>
      </c>
      <c r="AV1684" t="s">
        <v>111</v>
      </c>
    </row>
    <row r="1685" spans="20:48">
      <c r="T1685" s="79"/>
      <c r="U1685" s="79"/>
      <c r="AT1685" t="s">
        <v>909</v>
      </c>
      <c r="AU1685" s="93">
        <v>1668</v>
      </c>
      <c r="AV1685" t="s">
        <v>111</v>
      </c>
    </row>
    <row r="1686" spans="20:48">
      <c r="T1686" s="79"/>
      <c r="U1686" s="79"/>
      <c r="AT1686" t="s">
        <v>910</v>
      </c>
      <c r="AU1686" s="93">
        <v>1669</v>
      </c>
      <c r="AV1686" t="s">
        <v>911</v>
      </c>
    </row>
    <row r="1687" spans="20:48">
      <c r="T1687" s="79"/>
      <c r="U1687" s="79"/>
      <c r="AT1687" t="s">
        <v>912</v>
      </c>
      <c r="AU1687" s="93">
        <v>1670</v>
      </c>
      <c r="AV1687" t="s">
        <v>117</v>
      </c>
    </row>
    <row r="1688" spans="20:48">
      <c r="T1688" s="79"/>
      <c r="U1688" s="79"/>
      <c r="AT1688" t="s">
        <v>913</v>
      </c>
      <c r="AU1688" s="93">
        <v>1671</v>
      </c>
      <c r="AV1688" t="s">
        <v>143</v>
      </c>
    </row>
    <row r="1689" spans="20:48">
      <c r="T1689" s="79"/>
      <c r="U1689" s="79"/>
      <c r="AT1689" t="s">
        <v>914</v>
      </c>
      <c r="AU1689" s="93">
        <v>1672</v>
      </c>
      <c r="AV1689" t="s">
        <v>117</v>
      </c>
    </row>
    <row r="1690" spans="20:48">
      <c r="T1690" s="79"/>
      <c r="U1690" s="79"/>
      <c r="AT1690" t="s">
        <v>915</v>
      </c>
      <c r="AU1690" s="93">
        <v>1673</v>
      </c>
      <c r="AV1690" t="s">
        <v>117</v>
      </c>
    </row>
    <row r="1691" spans="20:48">
      <c r="T1691" s="79"/>
      <c r="U1691" s="79"/>
      <c r="AT1691" t="s">
        <v>916</v>
      </c>
      <c r="AU1691" s="93">
        <v>1674</v>
      </c>
      <c r="AV1691" t="s">
        <v>115</v>
      </c>
    </row>
    <row r="1692" spans="20:48">
      <c r="T1692" s="79"/>
      <c r="U1692" s="79"/>
      <c r="AT1692" t="s">
        <v>917</v>
      </c>
      <c r="AU1692" s="93">
        <v>1675</v>
      </c>
      <c r="AV1692" t="s">
        <v>132</v>
      </c>
    </row>
    <row r="1693" spans="20:48">
      <c r="T1693" s="79"/>
      <c r="U1693" s="79"/>
      <c r="AT1693" t="s">
        <v>918</v>
      </c>
      <c r="AU1693" s="93">
        <v>1676</v>
      </c>
      <c r="AV1693" t="s">
        <v>134</v>
      </c>
    </row>
    <row r="1694" spans="20:48">
      <c r="T1694" s="79"/>
      <c r="U1694" s="79"/>
      <c r="AT1694" t="s">
        <v>919</v>
      </c>
      <c r="AU1694" s="93">
        <v>1677</v>
      </c>
      <c r="AV1694" t="s">
        <v>111</v>
      </c>
    </row>
    <row r="1695" spans="20:48">
      <c r="T1695" s="79"/>
      <c r="U1695" s="79"/>
      <c r="AT1695" t="s">
        <v>920</v>
      </c>
      <c r="AU1695" s="93">
        <v>1678</v>
      </c>
      <c r="AV1695" t="s">
        <v>142</v>
      </c>
    </row>
    <row r="1696" spans="20:48">
      <c r="T1696" s="79"/>
      <c r="U1696" s="79"/>
      <c r="AT1696" t="s">
        <v>921</v>
      </c>
      <c r="AU1696" s="93">
        <v>1679</v>
      </c>
      <c r="AV1696" t="s">
        <v>123</v>
      </c>
    </row>
    <row r="1697" spans="20:48">
      <c r="T1697" s="79"/>
      <c r="U1697" s="79"/>
      <c r="AT1697" t="s">
        <v>922</v>
      </c>
      <c r="AU1697" s="93">
        <v>1680</v>
      </c>
      <c r="AV1697" t="s">
        <v>128</v>
      </c>
    </row>
    <row r="1698" spans="20:48">
      <c r="T1698" s="79"/>
      <c r="U1698" s="79"/>
      <c r="AT1698" t="s">
        <v>923</v>
      </c>
      <c r="AU1698" s="93">
        <v>1681</v>
      </c>
      <c r="AV1698" t="s">
        <v>123</v>
      </c>
    </row>
    <row r="1699" spans="20:48">
      <c r="T1699" s="79"/>
      <c r="U1699" s="79"/>
      <c r="AT1699" t="s">
        <v>924</v>
      </c>
      <c r="AU1699" s="93">
        <v>1682</v>
      </c>
      <c r="AV1699" t="s">
        <v>120</v>
      </c>
    </row>
    <row r="1700" spans="20:48">
      <c r="T1700" s="79"/>
      <c r="U1700" s="79"/>
      <c r="AT1700" t="s">
        <v>925</v>
      </c>
      <c r="AU1700" s="93">
        <v>1683</v>
      </c>
      <c r="AV1700" t="s">
        <v>120</v>
      </c>
    </row>
    <row r="1701" spans="20:48">
      <c r="T1701" s="79"/>
      <c r="U1701" s="79"/>
      <c r="AT1701" t="s">
        <v>926</v>
      </c>
      <c r="AU1701" s="93">
        <v>1684</v>
      </c>
      <c r="AV1701" t="s">
        <v>120</v>
      </c>
    </row>
    <row r="1702" spans="20:48">
      <c r="T1702" s="79"/>
      <c r="U1702" s="79"/>
      <c r="AT1702" t="s">
        <v>927</v>
      </c>
      <c r="AU1702" s="93">
        <v>1685</v>
      </c>
      <c r="AV1702" t="s">
        <v>120</v>
      </c>
    </row>
    <row r="1703" spans="20:48">
      <c r="T1703" s="79"/>
      <c r="U1703" s="79"/>
      <c r="AT1703" t="s">
        <v>928</v>
      </c>
      <c r="AU1703" s="93">
        <v>1686</v>
      </c>
      <c r="AV1703" t="s">
        <v>132</v>
      </c>
    </row>
    <row r="1704" spans="20:48">
      <c r="T1704" s="79"/>
      <c r="U1704" s="79"/>
      <c r="AT1704" t="s">
        <v>929</v>
      </c>
      <c r="AU1704" s="93">
        <v>1687</v>
      </c>
      <c r="AV1704" t="s">
        <v>111</v>
      </c>
    </row>
    <row r="1705" spans="20:48">
      <c r="T1705" s="79"/>
      <c r="U1705" s="79"/>
      <c r="AT1705" t="s">
        <v>930</v>
      </c>
      <c r="AU1705" s="93">
        <v>1688</v>
      </c>
      <c r="AV1705" t="s">
        <v>120</v>
      </c>
    </row>
    <row r="1706" spans="20:48">
      <c r="T1706" s="79"/>
      <c r="U1706" s="79"/>
      <c r="AT1706" t="s">
        <v>931</v>
      </c>
      <c r="AU1706" s="93">
        <v>1689</v>
      </c>
      <c r="AV1706" t="s">
        <v>149</v>
      </c>
    </row>
    <row r="1707" spans="20:48">
      <c r="T1707" s="79"/>
      <c r="U1707" s="79"/>
      <c r="AT1707" t="s">
        <v>932</v>
      </c>
      <c r="AU1707" s="93">
        <v>1690</v>
      </c>
      <c r="AV1707" t="s">
        <v>120</v>
      </c>
    </row>
    <row r="1708" spans="20:48">
      <c r="T1708" s="79"/>
      <c r="U1708" s="79"/>
      <c r="AT1708" t="s">
        <v>933</v>
      </c>
      <c r="AU1708" s="93">
        <v>1691</v>
      </c>
      <c r="AV1708" t="s">
        <v>115</v>
      </c>
    </row>
    <row r="1709" spans="20:48">
      <c r="T1709" s="79"/>
      <c r="U1709" s="79"/>
      <c r="AT1709" t="s">
        <v>934</v>
      </c>
      <c r="AU1709" s="93">
        <v>1692</v>
      </c>
      <c r="AV1709" t="s">
        <v>129</v>
      </c>
    </row>
    <row r="1710" spans="20:48">
      <c r="T1710" s="79"/>
      <c r="U1710" s="79"/>
      <c r="AT1710" t="s">
        <v>935</v>
      </c>
      <c r="AU1710" s="93">
        <v>1693</v>
      </c>
      <c r="AV1710" t="s">
        <v>113</v>
      </c>
    </row>
    <row r="1711" spans="20:48">
      <c r="T1711" s="79"/>
      <c r="U1711" s="79"/>
      <c r="AT1711" t="s">
        <v>936</v>
      </c>
      <c r="AU1711" s="93">
        <v>1694</v>
      </c>
      <c r="AV1711" t="s">
        <v>150</v>
      </c>
    </row>
    <row r="1712" spans="20:48">
      <c r="T1712" s="79"/>
      <c r="U1712" s="79"/>
      <c r="AT1712" t="s">
        <v>937</v>
      </c>
      <c r="AU1712" s="93">
        <v>1695</v>
      </c>
      <c r="AV1712" t="s">
        <v>134</v>
      </c>
    </row>
    <row r="1713" spans="20:48">
      <c r="T1713" s="79"/>
      <c r="U1713" s="79"/>
      <c r="AT1713" t="s">
        <v>938</v>
      </c>
      <c r="AU1713" s="93">
        <v>1696</v>
      </c>
      <c r="AV1713" t="s">
        <v>129</v>
      </c>
    </row>
    <row r="1714" spans="20:48">
      <c r="T1714" s="79"/>
      <c r="U1714" s="79"/>
      <c r="AT1714" t="s">
        <v>939</v>
      </c>
      <c r="AU1714" s="93">
        <v>1697</v>
      </c>
      <c r="AV1714" t="s">
        <v>133</v>
      </c>
    </row>
    <row r="1715" spans="20:48">
      <c r="T1715" s="79"/>
      <c r="U1715" s="79"/>
      <c r="AT1715" t="s">
        <v>940</v>
      </c>
      <c r="AU1715" s="93">
        <v>1698</v>
      </c>
      <c r="AV1715" t="s">
        <v>138</v>
      </c>
    </row>
    <row r="1716" spans="20:48">
      <c r="T1716" s="79"/>
      <c r="U1716" s="79"/>
      <c r="AT1716" t="s">
        <v>941</v>
      </c>
      <c r="AU1716" s="93">
        <v>1699</v>
      </c>
      <c r="AV1716" t="s">
        <v>122</v>
      </c>
    </row>
    <row r="1717" spans="20:48">
      <c r="T1717" s="79"/>
      <c r="U1717" s="79"/>
      <c r="AT1717" t="s">
        <v>942</v>
      </c>
      <c r="AU1717" s="93">
        <v>1700</v>
      </c>
      <c r="AV1717" t="s">
        <v>120</v>
      </c>
    </row>
    <row r="1718" spans="20:48">
      <c r="T1718" s="79"/>
      <c r="U1718" s="79"/>
      <c r="AT1718" t="s">
        <v>943</v>
      </c>
      <c r="AU1718" s="93">
        <v>1701</v>
      </c>
      <c r="AV1718" t="s">
        <v>117</v>
      </c>
    </row>
    <row r="1719" spans="20:48">
      <c r="T1719" s="79"/>
      <c r="U1719" s="79"/>
      <c r="AT1719" t="s">
        <v>944</v>
      </c>
      <c r="AU1719" s="93">
        <v>1702</v>
      </c>
      <c r="AV1719" t="s">
        <v>111</v>
      </c>
    </row>
    <row r="1720" spans="20:48">
      <c r="T1720" s="79"/>
      <c r="U1720" s="79"/>
      <c r="AT1720" t="s">
        <v>945</v>
      </c>
      <c r="AU1720" s="93">
        <v>1703</v>
      </c>
      <c r="AV1720" t="s">
        <v>111</v>
      </c>
    </row>
    <row r="1721" spans="20:48">
      <c r="T1721" s="79"/>
      <c r="U1721" s="79"/>
      <c r="AT1721" t="s">
        <v>946</v>
      </c>
      <c r="AU1721" s="93">
        <v>1704</v>
      </c>
      <c r="AV1721" t="s">
        <v>111</v>
      </c>
    </row>
    <row r="1722" spans="20:48">
      <c r="T1722" s="79"/>
      <c r="U1722" s="79"/>
      <c r="AT1722" t="s">
        <v>947</v>
      </c>
      <c r="AU1722" s="93">
        <v>1705</v>
      </c>
      <c r="AV1722" t="s">
        <v>111</v>
      </c>
    </row>
    <row r="1723" spans="20:48">
      <c r="T1723" s="79"/>
      <c r="U1723" s="79"/>
      <c r="AT1723" t="s">
        <v>948</v>
      </c>
      <c r="AU1723" s="93">
        <v>1706</v>
      </c>
      <c r="AV1723" t="s">
        <v>111</v>
      </c>
    </row>
    <row r="1724" spans="20:48">
      <c r="T1724" s="79"/>
      <c r="U1724" s="79"/>
      <c r="AT1724" t="s">
        <v>949</v>
      </c>
      <c r="AU1724" s="93">
        <v>1707</v>
      </c>
      <c r="AV1724" t="s">
        <v>120</v>
      </c>
    </row>
    <row r="1725" spans="20:48">
      <c r="T1725" s="79"/>
      <c r="U1725" s="79"/>
      <c r="AT1725" t="s">
        <v>950</v>
      </c>
      <c r="AU1725" s="93">
        <v>1708</v>
      </c>
      <c r="AV1725" t="s">
        <v>136</v>
      </c>
    </row>
    <row r="1726" spans="20:48">
      <c r="T1726" s="79"/>
      <c r="U1726" s="79"/>
      <c r="AT1726" t="s">
        <v>951</v>
      </c>
      <c r="AU1726" s="93">
        <v>1709</v>
      </c>
      <c r="AV1726" t="s">
        <v>120</v>
      </c>
    </row>
    <row r="1727" spans="20:48">
      <c r="T1727" s="79"/>
      <c r="U1727" s="79"/>
      <c r="AT1727" t="s">
        <v>952</v>
      </c>
      <c r="AU1727" s="93">
        <v>1710</v>
      </c>
      <c r="AV1727" t="s">
        <v>120</v>
      </c>
    </row>
    <row r="1728" spans="20:48">
      <c r="T1728" s="79"/>
      <c r="U1728" s="79"/>
      <c r="AT1728" t="s">
        <v>953</v>
      </c>
      <c r="AU1728" s="93">
        <v>1711</v>
      </c>
      <c r="AV1728" t="s">
        <v>111</v>
      </c>
    </row>
    <row r="1729" spans="20:48">
      <c r="T1729" s="79"/>
      <c r="U1729" s="79"/>
      <c r="AT1729" t="s">
        <v>954</v>
      </c>
      <c r="AU1729" s="93">
        <v>1712</v>
      </c>
      <c r="AV1729" t="s">
        <v>117</v>
      </c>
    </row>
    <row r="1730" spans="20:48">
      <c r="T1730" s="79"/>
      <c r="U1730" s="79"/>
      <c r="AT1730" t="s">
        <v>955</v>
      </c>
      <c r="AU1730" s="93">
        <v>1713</v>
      </c>
      <c r="AV1730" t="s">
        <v>111</v>
      </c>
    </row>
    <row r="1731" spans="20:48">
      <c r="T1731" s="79"/>
      <c r="U1731" s="79"/>
      <c r="AT1731" t="s">
        <v>956</v>
      </c>
      <c r="AU1731" s="93">
        <v>1714</v>
      </c>
      <c r="AV1731" t="s">
        <v>111</v>
      </c>
    </row>
    <row r="1732" spans="20:48">
      <c r="T1732" s="79"/>
      <c r="U1732" s="79"/>
      <c r="AT1732" t="s">
        <v>957</v>
      </c>
      <c r="AU1732" s="93">
        <v>1715</v>
      </c>
      <c r="AV1732" t="s">
        <v>145</v>
      </c>
    </row>
    <row r="1733" spans="20:48">
      <c r="T1733" s="79"/>
      <c r="U1733" s="79"/>
      <c r="AT1733" t="s">
        <v>958</v>
      </c>
      <c r="AU1733" s="93">
        <v>1716</v>
      </c>
      <c r="AV1733" t="s">
        <v>145</v>
      </c>
    </row>
    <row r="1734" spans="20:48">
      <c r="T1734" s="79"/>
      <c r="U1734" s="79"/>
      <c r="AT1734" t="s">
        <v>959</v>
      </c>
      <c r="AU1734" s="93">
        <v>1717</v>
      </c>
      <c r="AV1734" t="s">
        <v>133</v>
      </c>
    </row>
    <row r="1735" spans="20:48">
      <c r="T1735" s="79"/>
      <c r="U1735" s="79"/>
      <c r="AT1735" t="s">
        <v>960</v>
      </c>
      <c r="AU1735" s="93">
        <v>1718</v>
      </c>
      <c r="AV1735" t="s">
        <v>127</v>
      </c>
    </row>
    <row r="1736" spans="20:48">
      <c r="T1736" s="79"/>
      <c r="U1736" s="79"/>
      <c r="AT1736" t="s">
        <v>961</v>
      </c>
      <c r="AU1736" s="93">
        <v>1719</v>
      </c>
      <c r="AV1736" t="s">
        <v>114</v>
      </c>
    </row>
    <row r="1737" spans="20:48">
      <c r="T1737" s="79"/>
      <c r="U1737" s="79"/>
      <c r="AT1737" t="s">
        <v>962</v>
      </c>
      <c r="AU1737" s="93">
        <v>1720</v>
      </c>
      <c r="AV1737" t="s">
        <v>118</v>
      </c>
    </row>
    <row r="1738" spans="20:48">
      <c r="T1738" s="79"/>
      <c r="U1738" s="79"/>
      <c r="AT1738" t="s">
        <v>963</v>
      </c>
      <c r="AU1738" s="93">
        <v>1721</v>
      </c>
      <c r="AV1738" t="s">
        <v>114</v>
      </c>
    </row>
    <row r="1739" spans="20:48">
      <c r="T1739" s="79"/>
      <c r="U1739" s="79"/>
      <c r="AT1739" t="s">
        <v>964</v>
      </c>
      <c r="AU1739" s="93">
        <v>1722</v>
      </c>
      <c r="AV1739" t="s">
        <v>127</v>
      </c>
    </row>
    <row r="1740" spans="20:48">
      <c r="T1740" s="79"/>
      <c r="U1740" s="79"/>
      <c r="AT1740" t="s">
        <v>965</v>
      </c>
      <c r="AU1740" s="93">
        <v>1723</v>
      </c>
      <c r="AV1740" t="s">
        <v>114</v>
      </c>
    </row>
    <row r="1741" spans="20:48">
      <c r="T1741" s="79"/>
      <c r="U1741" s="79"/>
      <c r="AT1741" t="s">
        <v>966</v>
      </c>
      <c r="AU1741" s="93">
        <v>1724</v>
      </c>
      <c r="AV1741" t="s">
        <v>130</v>
      </c>
    </row>
    <row r="1742" spans="20:48">
      <c r="T1742" s="79"/>
      <c r="U1742" s="79"/>
      <c r="AT1742" t="s">
        <v>967</v>
      </c>
      <c r="AU1742" s="93">
        <v>1725</v>
      </c>
      <c r="AV1742" t="s">
        <v>114</v>
      </c>
    </row>
    <row r="1743" spans="20:48">
      <c r="T1743" s="79"/>
      <c r="U1743" s="79"/>
      <c r="AT1743" t="s">
        <v>968</v>
      </c>
      <c r="AU1743" s="93">
        <v>1726</v>
      </c>
      <c r="AV1743" t="s">
        <v>145</v>
      </c>
    </row>
    <row r="1744" spans="20:48">
      <c r="T1744" s="79"/>
      <c r="U1744" s="79"/>
      <c r="AT1744" t="s">
        <v>969</v>
      </c>
      <c r="AU1744" s="93">
        <v>1727</v>
      </c>
      <c r="AV1744" t="s">
        <v>115</v>
      </c>
    </row>
    <row r="1745" spans="20:48">
      <c r="T1745" s="79"/>
      <c r="U1745" s="79"/>
      <c r="AT1745" t="s">
        <v>970</v>
      </c>
      <c r="AU1745" s="93">
        <v>1728</v>
      </c>
      <c r="AV1745" t="s">
        <v>117</v>
      </c>
    </row>
    <row r="1746" spans="20:48">
      <c r="T1746" s="79"/>
      <c r="U1746" s="79"/>
      <c r="AT1746" t="s">
        <v>971</v>
      </c>
      <c r="AU1746" s="93">
        <v>1729</v>
      </c>
      <c r="AV1746" t="s">
        <v>114</v>
      </c>
    </row>
    <row r="1747" spans="20:48">
      <c r="T1747" s="79"/>
      <c r="U1747" s="79"/>
      <c r="AT1747" t="s">
        <v>972</v>
      </c>
      <c r="AU1747" s="93">
        <v>1730</v>
      </c>
      <c r="AV1747" t="s">
        <v>132</v>
      </c>
    </row>
    <row r="1748" spans="20:48">
      <c r="T1748" s="79"/>
      <c r="U1748" s="79"/>
      <c r="AT1748" t="s">
        <v>973</v>
      </c>
      <c r="AU1748" s="93">
        <v>1731</v>
      </c>
      <c r="AV1748" t="s">
        <v>111</v>
      </c>
    </row>
    <row r="1749" spans="20:48">
      <c r="T1749" s="79"/>
      <c r="U1749" s="79"/>
      <c r="AT1749" t="s">
        <v>974</v>
      </c>
      <c r="AU1749" s="93">
        <v>1732</v>
      </c>
      <c r="AV1749" t="s">
        <v>114</v>
      </c>
    </row>
    <row r="1750" spans="20:48">
      <c r="T1750" s="79"/>
      <c r="U1750" s="79"/>
      <c r="AT1750" t="s">
        <v>975</v>
      </c>
      <c r="AU1750" s="93">
        <v>1733</v>
      </c>
      <c r="AV1750" t="s">
        <v>131</v>
      </c>
    </row>
    <row r="1751" spans="20:48">
      <c r="T1751" s="79"/>
      <c r="U1751" s="79"/>
      <c r="AT1751" t="s">
        <v>976</v>
      </c>
      <c r="AU1751" s="93">
        <v>1734</v>
      </c>
      <c r="AV1751" t="s">
        <v>111</v>
      </c>
    </row>
    <row r="1752" spans="20:48">
      <c r="T1752" s="79"/>
      <c r="U1752" s="79"/>
      <c r="AT1752" t="s">
        <v>977</v>
      </c>
      <c r="AU1752" s="93">
        <v>1735</v>
      </c>
      <c r="AV1752" t="s">
        <v>114</v>
      </c>
    </row>
    <row r="1753" spans="20:48">
      <c r="T1753" s="79"/>
      <c r="U1753" s="79"/>
      <c r="AT1753" t="s">
        <v>978</v>
      </c>
      <c r="AU1753" s="93">
        <v>1736</v>
      </c>
      <c r="AV1753" t="s">
        <v>127</v>
      </c>
    </row>
    <row r="1754" spans="20:48">
      <c r="T1754" s="79"/>
      <c r="U1754" s="79"/>
      <c r="AT1754" t="s">
        <v>979</v>
      </c>
      <c r="AU1754" s="93">
        <v>1737</v>
      </c>
      <c r="AV1754" t="s">
        <v>145</v>
      </c>
    </row>
    <row r="1755" spans="20:48">
      <c r="T1755" s="79"/>
      <c r="U1755" s="79"/>
      <c r="AT1755" t="s">
        <v>980</v>
      </c>
      <c r="AU1755" s="93">
        <v>1738</v>
      </c>
      <c r="AV1755" t="s">
        <v>111</v>
      </c>
    </row>
    <row r="1756" spans="20:48">
      <c r="T1756" s="79"/>
      <c r="U1756" s="79"/>
      <c r="AT1756" t="s">
        <v>981</v>
      </c>
      <c r="AU1756" s="93">
        <v>1739</v>
      </c>
      <c r="AV1756" t="s">
        <v>117</v>
      </c>
    </row>
    <row r="1757" spans="20:48">
      <c r="T1757" s="79"/>
      <c r="U1757" s="79"/>
      <c r="AT1757" t="s">
        <v>982</v>
      </c>
      <c r="AU1757" s="93">
        <v>1740</v>
      </c>
      <c r="AV1757" t="s">
        <v>117</v>
      </c>
    </row>
    <row r="1758" spans="20:48">
      <c r="T1758" s="79"/>
      <c r="U1758" s="79"/>
      <c r="AT1758" t="s">
        <v>983</v>
      </c>
      <c r="AU1758" s="93">
        <v>1741</v>
      </c>
      <c r="AV1758" t="s">
        <v>114</v>
      </c>
    </row>
    <row r="1759" spans="20:48">
      <c r="T1759" s="79"/>
      <c r="U1759" s="79"/>
      <c r="AT1759" t="s">
        <v>984</v>
      </c>
      <c r="AU1759" s="93">
        <v>1742</v>
      </c>
      <c r="AV1759" t="s">
        <v>123</v>
      </c>
    </row>
    <row r="1760" spans="20:48">
      <c r="T1760" s="79"/>
      <c r="U1760" s="79"/>
      <c r="AT1760" t="s">
        <v>985</v>
      </c>
      <c r="AU1760" s="93">
        <v>1743</v>
      </c>
      <c r="AV1760" t="s">
        <v>113</v>
      </c>
    </row>
    <row r="1761" spans="20:48">
      <c r="T1761" s="79"/>
      <c r="U1761" s="79"/>
      <c r="AT1761" t="s">
        <v>986</v>
      </c>
      <c r="AU1761" s="93">
        <v>1744</v>
      </c>
      <c r="AV1761" t="s">
        <v>115</v>
      </c>
    </row>
    <row r="1762" spans="20:48">
      <c r="T1762" s="79"/>
      <c r="U1762" s="79"/>
      <c r="AT1762" t="s">
        <v>987</v>
      </c>
      <c r="AU1762" s="93">
        <v>1745</v>
      </c>
      <c r="AV1762" t="s">
        <v>144</v>
      </c>
    </row>
    <row r="1763" spans="20:48">
      <c r="T1763" s="79"/>
      <c r="U1763" s="79"/>
      <c r="AT1763" t="s">
        <v>988</v>
      </c>
      <c r="AU1763" s="93">
        <v>1746</v>
      </c>
      <c r="AV1763" t="s">
        <v>111</v>
      </c>
    </row>
    <row r="1764" spans="20:48">
      <c r="T1764" s="79"/>
      <c r="U1764" s="79"/>
      <c r="AT1764" t="s">
        <v>989</v>
      </c>
      <c r="AU1764" s="93">
        <v>1747</v>
      </c>
      <c r="AV1764" t="s">
        <v>114</v>
      </c>
    </row>
    <row r="1765" spans="20:48">
      <c r="T1765" s="79"/>
      <c r="U1765" s="79"/>
      <c r="AT1765" t="s">
        <v>990</v>
      </c>
      <c r="AU1765" s="93">
        <v>1748</v>
      </c>
      <c r="AV1765" t="s">
        <v>139</v>
      </c>
    </row>
    <row r="1766" spans="20:48">
      <c r="T1766" s="79"/>
      <c r="U1766" s="79"/>
      <c r="AT1766" t="s">
        <v>991</v>
      </c>
      <c r="AU1766" s="93">
        <v>1749</v>
      </c>
      <c r="AV1766" t="s">
        <v>114</v>
      </c>
    </row>
    <row r="1767" spans="20:48">
      <c r="T1767" s="79"/>
      <c r="U1767" s="79"/>
      <c r="AT1767" t="s">
        <v>992</v>
      </c>
      <c r="AU1767" s="93">
        <v>1750</v>
      </c>
      <c r="AV1767" t="s">
        <v>111</v>
      </c>
    </row>
    <row r="1768" spans="20:48">
      <c r="T1768" s="79"/>
      <c r="U1768" s="79"/>
      <c r="AT1768" t="s">
        <v>993</v>
      </c>
      <c r="AU1768" s="93">
        <v>1751</v>
      </c>
      <c r="AV1768" t="s">
        <v>132</v>
      </c>
    </row>
    <row r="1769" spans="20:48">
      <c r="T1769" s="79"/>
      <c r="U1769" s="79"/>
      <c r="AT1769" t="s">
        <v>994</v>
      </c>
      <c r="AU1769" s="93">
        <v>1752</v>
      </c>
      <c r="AV1769" t="s">
        <v>156</v>
      </c>
    </row>
    <row r="1770" spans="20:48">
      <c r="T1770" s="79"/>
      <c r="U1770" s="79"/>
      <c r="AT1770" t="s">
        <v>995</v>
      </c>
      <c r="AU1770" s="93">
        <v>1753</v>
      </c>
      <c r="AV1770" t="s">
        <v>123</v>
      </c>
    </row>
    <row r="1771" spans="20:48">
      <c r="T1771" s="79"/>
      <c r="U1771" s="79"/>
      <c r="AT1771" t="s">
        <v>996</v>
      </c>
      <c r="AU1771" s="93">
        <v>1754</v>
      </c>
      <c r="AV1771" t="s">
        <v>136</v>
      </c>
    </row>
    <row r="1772" spans="20:48">
      <c r="T1772" s="79"/>
      <c r="U1772" s="79"/>
      <c r="AT1772" t="s">
        <v>997</v>
      </c>
      <c r="AU1772" s="93">
        <v>1755</v>
      </c>
      <c r="AV1772" t="s">
        <v>111</v>
      </c>
    </row>
    <row r="1773" spans="20:48">
      <c r="T1773" s="79"/>
      <c r="U1773" s="79"/>
      <c r="AT1773" t="s">
        <v>998</v>
      </c>
      <c r="AU1773" s="93">
        <v>1756</v>
      </c>
      <c r="AV1773" t="s">
        <v>123</v>
      </c>
    </row>
    <row r="1774" spans="20:48">
      <c r="T1774" s="79"/>
      <c r="U1774" s="79"/>
      <c r="AT1774" t="s">
        <v>999</v>
      </c>
      <c r="AU1774" s="93">
        <v>1757</v>
      </c>
      <c r="AV1774" t="s">
        <v>123</v>
      </c>
    </row>
    <row r="1775" spans="20:48">
      <c r="T1775" s="79"/>
      <c r="U1775" s="79"/>
      <c r="AT1775" t="s">
        <v>1000</v>
      </c>
      <c r="AU1775" s="93">
        <v>1758</v>
      </c>
      <c r="AV1775" t="s">
        <v>111</v>
      </c>
    </row>
    <row r="1776" spans="20:48">
      <c r="T1776" s="79"/>
      <c r="U1776" s="79"/>
      <c r="AT1776" t="s">
        <v>1001</v>
      </c>
      <c r="AU1776" s="93">
        <v>1759</v>
      </c>
      <c r="AV1776" t="s">
        <v>142</v>
      </c>
    </row>
    <row r="1777" spans="20:48">
      <c r="T1777" s="79"/>
      <c r="U1777" s="79"/>
      <c r="AT1777" t="s">
        <v>1002</v>
      </c>
      <c r="AU1777" s="93">
        <v>1760</v>
      </c>
      <c r="AV1777" t="s">
        <v>111</v>
      </c>
    </row>
    <row r="1778" spans="20:48">
      <c r="T1778" s="79"/>
      <c r="U1778" s="79"/>
      <c r="AT1778" t="s">
        <v>1003</v>
      </c>
      <c r="AU1778" s="93">
        <v>1761</v>
      </c>
      <c r="AV1778" t="s">
        <v>139</v>
      </c>
    </row>
    <row r="1779" spans="20:48">
      <c r="T1779" s="79"/>
      <c r="U1779" s="79"/>
      <c r="AT1779" t="s">
        <v>1004</v>
      </c>
      <c r="AU1779" s="93">
        <v>1762</v>
      </c>
      <c r="AV1779" t="s">
        <v>114</v>
      </c>
    </row>
    <row r="1780" spans="20:48">
      <c r="T1780" s="79"/>
      <c r="U1780" s="79"/>
      <c r="AT1780" t="s">
        <v>1005</v>
      </c>
      <c r="AU1780" s="93">
        <v>1763</v>
      </c>
      <c r="AV1780" t="s">
        <v>111</v>
      </c>
    </row>
    <row r="1781" spans="20:48">
      <c r="T1781" s="79"/>
      <c r="U1781" s="79"/>
      <c r="AT1781" t="s">
        <v>1006</v>
      </c>
      <c r="AU1781" s="93">
        <v>1764</v>
      </c>
      <c r="AV1781" t="s">
        <v>592</v>
      </c>
    </row>
    <row r="1782" spans="20:48">
      <c r="T1782" s="79"/>
      <c r="U1782" s="79"/>
      <c r="AT1782" t="s">
        <v>1007</v>
      </c>
      <c r="AU1782" s="93">
        <v>1765</v>
      </c>
      <c r="AV1782" t="s">
        <v>136</v>
      </c>
    </row>
    <row r="1783" spans="20:48">
      <c r="T1783" s="79"/>
      <c r="U1783" s="79"/>
      <c r="AT1783" t="s">
        <v>1008</v>
      </c>
      <c r="AU1783" s="93">
        <v>1766</v>
      </c>
      <c r="AV1783" t="s">
        <v>111</v>
      </c>
    </row>
    <row r="1784" spans="20:48">
      <c r="T1784" s="79"/>
      <c r="U1784" s="79"/>
      <c r="AT1784" t="s">
        <v>1009</v>
      </c>
      <c r="AU1784" s="93">
        <v>1767</v>
      </c>
      <c r="AV1784" t="s">
        <v>115</v>
      </c>
    </row>
    <row r="1785" spans="20:48">
      <c r="T1785" s="79"/>
      <c r="U1785" s="79"/>
      <c r="AT1785" t="s">
        <v>1010</v>
      </c>
      <c r="AU1785" s="93">
        <v>1768</v>
      </c>
      <c r="AV1785" t="s">
        <v>121</v>
      </c>
    </row>
    <row r="1786" spans="20:48">
      <c r="T1786" s="79"/>
      <c r="U1786" s="79"/>
      <c r="AT1786" t="s">
        <v>1011</v>
      </c>
      <c r="AU1786" s="93">
        <v>1769</v>
      </c>
      <c r="AV1786" t="s">
        <v>123</v>
      </c>
    </row>
    <row r="1787" spans="20:48">
      <c r="T1787" s="79"/>
      <c r="U1787" s="79"/>
      <c r="AT1787" t="s">
        <v>1012</v>
      </c>
      <c r="AU1787" s="93">
        <v>1770</v>
      </c>
      <c r="AV1787" t="s">
        <v>123</v>
      </c>
    </row>
    <row r="1788" spans="20:48">
      <c r="T1788" s="79"/>
      <c r="U1788" s="79"/>
      <c r="AT1788" t="s">
        <v>1013</v>
      </c>
      <c r="AU1788" s="93">
        <v>1771</v>
      </c>
      <c r="AV1788" t="s">
        <v>111</v>
      </c>
    </row>
    <row r="1789" spans="20:48">
      <c r="T1789" s="79"/>
      <c r="U1789" s="79"/>
      <c r="AT1789" t="s">
        <v>1014</v>
      </c>
      <c r="AU1789" s="93">
        <v>1772</v>
      </c>
      <c r="AV1789" t="s">
        <v>114</v>
      </c>
    </row>
    <row r="1790" spans="20:48">
      <c r="T1790" s="79"/>
      <c r="U1790" s="79"/>
      <c r="AT1790" t="s">
        <v>1015</v>
      </c>
      <c r="AU1790" s="93">
        <v>1773</v>
      </c>
      <c r="AV1790" t="s">
        <v>145</v>
      </c>
    </row>
    <row r="1791" spans="20:48">
      <c r="T1791" s="79"/>
      <c r="U1791" s="79"/>
      <c r="AT1791" t="s">
        <v>1016</v>
      </c>
      <c r="AU1791" s="93">
        <v>1774</v>
      </c>
      <c r="AV1791" t="s">
        <v>115</v>
      </c>
    </row>
    <row r="1792" spans="20:48">
      <c r="T1792" s="79"/>
      <c r="U1792" s="79"/>
      <c r="AT1792" t="s">
        <v>1017</v>
      </c>
      <c r="AU1792" s="93">
        <v>1775</v>
      </c>
      <c r="AV1792" t="s">
        <v>141</v>
      </c>
    </row>
    <row r="1793" spans="20:48">
      <c r="T1793" s="79"/>
      <c r="U1793" s="79"/>
      <c r="AT1793" t="s">
        <v>1018</v>
      </c>
      <c r="AU1793" s="93">
        <v>1776</v>
      </c>
      <c r="AV1793" t="s">
        <v>117</v>
      </c>
    </row>
    <row r="1794" spans="20:48">
      <c r="T1794" s="79"/>
      <c r="U1794" s="79"/>
      <c r="AT1794" t="s">
        <v>1019</v>
      </c>
      <c r="AU1794" s="93">
        <v>1777</v>
      </c>
      <c r="AV1794" t="s">
        <v>111</v>
      </c>
    </row>
    <row r="1795" spans="20:48">
      <c r="T1795" s="79"/>
      <c r="U1795" s="79"/>
      <c r="AT1795" t="s">
        <v>1020</v>
      </c>
      <c r="AU1795" s="93">
        <v>1778</v>
      </c>
      <c r="AV1795" t="s">
        <v>117</v>
      </c>
    </row>
    <row r="1796" spans="20:48">
      <c r="T1796" s="79"/>
      <c r="U1796" s="79"/>
      <c r="AT1796" t="s">
        <v>1021</v>
      </c>
      <c r="AU1796" s="93">
        <v>1779</v>
      </c>
      <c r="AV1796" t="s">
        <v>111</v>
      </c>
    </row>
    <row r="1797" spans="20:48">
      <c r="T1797" s="79"/>
      <c r="U1797" s="79"/>
      <c r="AT1797" t="s">
        <v>1022</v>
      </c>
      <c r="AU1797" s="93">
        <v>1780</v>
      </c>
      <c r="AV1797" t="s">
        <v>132</v>
      </c>
    </row>
    <row r="1798" spans="20:48">
      <c r="T1798" s="79"/>
      <c r="U1798" s="79"/>
      <c r="AT1798" t="s">
        <v>1023</v>
      </c>
      <c r="AU1798" s="93">
        <v>1781</v>
      </c>
      <c r="AV1798" t="s">
        <v>129</v>
      </c>
    </row>
    <row r="1799" spans="20:48">
      <c r="T1799" s="79"/>
      <c r="U1799" s="79"/>
      <c r="AT1799" t="s">
        <v>1024</v>
      </c>
      <c r="AU1799" s="93">
        <v>1782</v>
      </c>
      <c r="AV1799" t="s">
        <v>134</v>
      </c>
    </row>
    <row r="1800" spans="20:48">
      <c r="T1800" s="79"/>
      <c r="U1800" s="79"/>
      <c r="AT1800" t="s">
        <v>1025</v>
      </c>
      <c r="AU1800" s="93">
        <v>1783</v>
      </c>
      <c r="AV1800" t="s">
        <v>158</v>
      </c>
    </row>
    <row r="1801" spans="20:48">
      <c r="T1801" s="79"/>
      <c r="U1801" s="79"/>
      <c r="AT1801" t="s">
        <v>1026</v>
      </c>
      <c r="AU1801" s="93">
        <v>1784</v>
      </c>
      <c r="AV1801" t="s">
        <v>158</v>
      </c>
    </row>
    <row r="1802" spans="20:48">
      <c r="T1802" s="79"/>
      <c r="U1802" s="79"/>
      <c r="AT1802" t="s">
        <v>1027</v>
      </c>
      <c r="AU1802" s="93">
        <v>1785</v>
      </c>
      <c r="AV1802" t="s">
        <v>117</v>
      </c>
    </row>
    <row r="1803" spans="20:48">
      <c r="T1803" s="79"/>
      <c r="U1803" s="79"/>
      <c r="AT1803" t="s">
        <v>1028</v>
      </c>
      <c r="AU1803" s="93">
        <v>1786</v>
      </c>
      <c r="AV1803" t="s">
        <v>115</v>
      </c>
    </row>
    <row r="1804" spans="20:48">
      <c r="T1804" s="79"/>
      <c r="U1804" s="79"/>
      <c r="AT1804" t="s">
        <v>1029</v>
      </c>
      <c r="AU1804" s="93">
        <v>1787</v>
      </c>
      <c r="AV1804" t="s">
        <v>120</v>
      </c>
    </row>
    <row r="1805" spans="20:48">
      <c r="T1805" s="79"/>
      <c r="U1805" s="79"/>
      <c r="AT1805" t="s">
        <v>1030</v>
      </c>
      <c r="AU1805" s="93">
        <v>1788</v>
      </c>
      <c r="AV1805" t="s">
        <v>150</v>
      </c>
    </row>
    <row r="1806" spans="20:48">
      <c r="T1806" s="79"/>
      <c r="U1806" s="79"/>
      <c r="AT1806" t="s">
        <v>1031</v>
      </c>
      <c r="AU1806" s="93">
        <v>1789</v>
      </c>
      <c r="AV1806" t="s">
        <v>129</v>
      </c>
    </row>
    <row r="1807" spans="20:48">
      <c r="T1807" s="79"/>
      <c r="U1807" s="79"/>
      <c r="AT1807" t="s">
        <v>1032</v>
      </c>
      <c r="AU1807" s="93">
        <v>1790</v>
      </c>
      <c r="AV1807" t="s">
        <v>111</v>
      </c>
    </row>
    <row r="1808" spans="20:48">
      <c r="T1808" s="79"/>
      <c r="U1808" s="79"/>
      <c r="AT1808" t="s">
        <v>1033</v>
      </c>
      <c r="AU1808" s="93">
        <v>1791</v>
      </c>
      <c r="AV1808" t="s">
        <v>114</v>
      </c>
    </row>
    <row r="1809" spans="20:48">
      <c r="T1809" s="79"/>
      <c r="U1809" s="79"/>
      <c r="AT1809" t="s">
        <v>1034</v>
      </c>
      <c r="AU1809" s="93">
        <v>1792</v>
      </c>
      <c r="AV1809" t="s">
        <v>122</v>
      </c>
    </row>
    <row r="1810" spans="20:48">
      <c r="T1810" s="79"/>
      <c r="U1810" s="79"/>
      <c r="AT1810" t="s">
        <v>1035</v>
      </c>
      <c r="AU1810" s="93">
        <v>1793</v>
      </c>
      <c r="AV1810" t="s">
        <v>120</v>
      </c>
    </row>
    <row r="1811" spans="20:48">
      <c r="T1811" s="79"/>
      <c r="U1811" s="79"/>
      <c r="AT1811" t="s">
        <v>1036</v>
      </c>
      <c r="AU1811" s="93">
        <v>1794</v>
      </c>
      <c r="AV1811" t="s">
        <v>762</v>
      </c>
    </row>
    <row r="1812" spans="20:48">
      <c r="T1812" s="79"/>
      <c r="U1812" s="79"/>
      <c r="AT1812" t="s">
        <v>1037</v>
      </c>
      <c r="AU1812" s="93">
        <v>1795</v>
      </c>
      <c r="AV1812" t="s">
        <v>115</v>
      </c>
    </row>
    <row r="1813" spans="20:48">
      <c r="T1813" s="79"/>
      <c r="U1813" s="79"/>
      <c r="AT1813" t="s">
        <v>1038</v>
      </c>
      <c r="AU1813" s="93">
        <v>1796</v>
      </c>
      <c r="AV1813" t="s">
        <v>158</v>
      </c>
    </row>
    <row r="1814" spans="20:48">
      <c r="T1814" s="79"/>
      <c r="U1814" s="79"/>
      <c r="AT1814" t="s">
        <v>1039</v>
      </c>
      <c r="AU1814" s="93">
        <v>1797</v>
      </c>
      <c r="AV1814" t="s">
        <v>145</v>
      </c>
    </row>
    <row r="1815" spans="20:48">
      <c r="T1815" s="79"/>
      <c r="U1815" s="79"/>
      <c r="AT1815" t="s">
        <v>1040</v>
      </c>
      <c r="AU1815" s="93">
        <v>1798</v>
      </c>
      <c r="AV1815" t="s">
        <v>115</v>
      </c>
    </row>
    <row r="1816" spans="20:48">
      <c r="T1816" s="79"/>
      <c r="U1816" s="79"/>
      <c r="AT1816" t="s">
        <v>1041</v>
      </c>
      <c r="AU1816" s="93">
        <v>1799</v>
      </c>
      <c r="AV1816" t="s">
        <v>119</v>
      </c>
    </row>
    <row r="1817" spans="20:48">
      <c r="T1817" s="79"/>
      <c r="U1817" s="79"/>
      <c r="AT1817" t="s">
        <v>1042</v>
      </c>
      <c r="AU1817" s="93">
        <v>1800</v>
      </c>
      <c r="AV1817" t="s">
        <v>115</v>
      </c>
    </row>
    <row r="1818" spans="20:48">
      <c r="T1818" s="79"/>
      <c r="U1818" s="79"/>
      <c r="AT1818" t="s">
        <v>1043</v>
      </c>
      <c r="AU1818" s="93">
        <v>1801</v>
      </c>
      <c r="AV1818" t="s">
        <v>111</v>
      </c>
    </row>
    <row r="1819" spans="20:48">
      <c r="T1819" s="79"/>
      <c r="U1819" s="79"/>
      <c r="AT1819" t="s">
        <v>1044</v>
      </c>
      <c r="AU1819" s="93">
        <v>1802</v>
      </c>
      <c r="AV1819" t="s">
        <v>114</v>
      </c>
    </row>
    <row r="1820" spans="20:48">
      <c r="T1820" s="79"/>
      <c r="U1820" s="79"/>
      <c r="AT1820" t="s">
        <v>1045</v>
      </c>
      <c r="AU1820" s="93">
        <v>1803</v>
      </c>
      <c r="AV1820" t="s">
        <v>114</v>
      </c>
    </row>
    <row r="1821" spans="20:48">
      <c r="T1821" s="79"/>
      <c r="U1821" s="79"/>
      <c r="AT1821" t="s">
        <v>1046</v>
      </c>
      <c r="AU1821" s="93">
        <v>1804</v>
      </c>
      <c r="AV1821" t="s">
        <v>120</v>
      </c>
    </row>
    <row r="1822" spans="20:48">
      <c r="T1822" s="79"/>
      <c r="U1822" s="79"/>
      <c r="AT1822" t="s">
        <v>1047</v>
      </c>
      <c r="AU1822" s="93">
        <v>1805</v>
      </c>
      <c r="AV1822" t="s">
        <v>129</v>
      </c>
    </row>
    <row r="1823" spans="20:48">
      <c r="T1823" s="79"/>
      <c r="U1823" s="79"/>
      <c r="AT1823" t="s">
        <v>1048</v>
      </c>
      <c r="AU1823" s="93">
        <v>1806</v>
      </c>
      <c r="AV1823" t="s">
        <v>136</v>
      </c>
    </row>
    <row r="1824" spans="20:48">
      <c r="T1824" s="79"/>
      <c r="U1824" s="79"/>
      <c r="AT1824" t="s">
        <v>1049</v>
      </c>
      <c r="AU1824" s="93">
        <v>1807</v>
      </c>
      <c r="AV1824" t="s">
        <v>136</v>
      </c>
    </row>
    <row r="1825" spans="20:48">
      <c r="T1825" s="79"/>
      <c r="U1825" s="79"/>
      <c r="AT1825" t="s">
        <v>1050</v>
      </c>
      <c r="AU1825" s="93">
        <v>1808</v>
      </c>
      <c r="AV1825" t="s">
        <v>115</v>
      </c>
    </row>
    <row r="1826" spans="20:48">
      <c r="T1826" s="79"/>
      <c r="U1826" s="79"/>
      <c r="AT1826" t="s">
        <v>1051</v>
      </c>
      <c r="AU1826" s="93">
        <v>1809</v>
      </c>
      <c r="AV1826" t="s">
        <v>120</v>
      </c>
    </row>
    <row r="1827" spans="20:48">
      <c r="T1827" s="79"/>
      <c r="U1827" s="79"/>
      <c r="AT1827" t="s">
        <v>1052</v>
      </c>
      <c r="AU1827" s="93">
        <v>1810</v>
      </c>
      <c r="AV1827" t="s">
        <v>111</v>
      </c>
    </row>
    <row r="1828" spans="20:48">
      <c r="T1828" s="79"/>
      <c r="U1828" s="79"/>
      <c r="AT1828" t="s">
        <v>1053</v>
      </c>
      <c r="AU1828" s="93">
        <v>1811</v>
      </c>
      <c r="AV1828" t="s">
        <v>134</v>
      </c>
    </row>
    <row r="1829" spans="20:48">
      <c r="T1829" s="79"/>
      <c r="U1829" s="79"/>
      <c r="AT1829" t="s">
        <v>1054</v>
      </c>
      <c r="AU1829" s="93">
        <v>1812</v>
      </c>
      <c r="AV1829" t="s">
        <v>129</v>
      </c>
    </row>
    <row r="1830" spans="20:48">
      <c r="T1830" s="79"/>
      <c r="U1830" s="79"/>
      <c r="AT1830" t="s">
        <v>1055</v>
      </c>
      <c r="AU1830" s="93">
        <v>1813</v>
      </c>
      <c r="AV1830" t="s">
        <v>136</v>
      </c>
    </row>
    <row r="1831" spans="20:48">
      <c r="T1831" s="79"/>
      <c r="U1831" s="79"/>
      <c r="AT1831" t="s">
        <v>1056</v>
      </c>
      <c r="AU1831" s="93">
        <v>1814</v>
      </c>
      <c r="AV1831" t="s">
        <v>111</v>
      </c>
    </row>
    <row r="1832" spans="20:48">
      <c r="T1832" s="79"/>
      <c r="U1832" s="79"/>
      <c r="AT1832" t="s">
        <v>1057</v>
      </c>
      <c r="AU1832" s="93">
        <v>1815</v>
      </c>
      <c r="AV1832" t="s">
        <v>114</v>
      </c>
    </row>
    <row r="1833" spans="20:48">
      <c r="T1833" s="79"/>
      <c r="U1833" s="79"/>
      <c r="AT1833" t="s">
        <v>1058</v>
      </c>
      <c r="AU1833" s="93">
        <v>1816</v>
      </c>
      <c r="AV1833" t="s">
        <v>115</v>
      </c>
    </row>
    <row r="1834" spans="20:48">
      <c r="T1834" s="79"/>
      <c r="U1834" s="79"/>
      <c r="AT1834" t="s">
        <v>1059</v>
      </c>
      <c r="AU1834" s="93">
        <v>1817</v>
      </c>
      <c r="AV1834" t="s">
        <v>120</v>
      </c>
    </row>
    <row r="1835" spans="20:48">
      <c r="T1835" s="79"/>
      <c r="U1835" s="79"/>
      <c r="AT1835" t="s">
        <v>1060</v>
      </c>
      <c r="AU1835" s="93">
        <v>1818</v>
      </c>
      <c r="AV1835" t="s">
        <v>120</v>
      </c>
    </row>
    <row r="1836" spans="20:48">
      <c r="T1836" s="79"/>
      <c r="U1836" s="79"/>
      <c r="AT1836" t="s">
        <v>1061</v>
      </c>
      <c r="AU1836" s="93">
        <v>1819</v>
      </c>
      <c r="AV1836" t="s">
        <v>111</v>
      </c>
    </row>
    <row r="1837" spans="20:48">
      <c r="T1837" s="79"/>
      <c r="U1837" s="79"/>
      <c r="AT1837" t="s">
        <v>1062</v>
      </c>
      <c r="AU1837" s="93">
        <v>1820</v>
      </c>
      <c r="AV1837" t="s">
        <v>115</v>
      </c>
    </row>
    <row r="1838" spans="20:48">
      <c r="T1838" s="79"/>
      <c r="U1838" s="79"/>
      <c r="AT1838" t="s">
        <v>1063</v>
      </c>
      <c r="AU1838" s="93">
        <v>1821</v>
      </c>
      <c r="AV1838" t="s">
        <v>132</v>
      </c>
    </row>
    <row r="1839" spans="20:48">
      <c r="T1839" s="79"/>
      <c r="U1839" s="79"/>
      <c r="AT1839" t="s">
        <v>1064</v>
      </c>
      <c r="AU1839" s="93">
        <v>1822</v>
      </c>
      <c r="AV1839" t="s">
        <v>120</v>
      </c>
    </row>
    <row r="1840" spans="20:48">
      <c r="T1840" s="79"/>
      <c r="U1840" s="79"/>
      <c r="AT1840" t="s">
        <v>1065</v>
      </c>
      <c r="AU1840" s="93">
        <v>1823</v>
      </c>
      <c r="AV1840" t="s">
        <v>119</v>
      </c>
    </row>
    <row r="1841" spans="20:48">
      <c r="T1841" s="79"/>
      <c r="U1841" s="79"/>
      <c r="AT1841" t="s">
        <v>1066</v>
      </c>
      <c r="AU1841" s="93">
        <v>1824</v>
      </c>
      <c r="AV1841" t="s">
        <v>111</v>
      </c>
    </row>
    <row r="1842" spans="20:48">
      <c r="T1842" s="79"/>
      <c r="U1842" s="79"/>
      <c r="AT1842" t="s">
        <v>1067</v>
      </c>
      <c r="AU1842" s="93">
        <v>1825</v>
      </c>
      <c r="AV1842" t="s">
        <v>120</v>
      </c>
    </row>
    <row r="1843" spans="20:48">
      <c r="T1843" s="79"/>
      <c r="U1843" s="79"/>
      <c r="AT1843" t="s">
        <v>1068</v>
      </c>
      <c r="AU1843" s="93">
        <v>1826</v>
      </c>
      <c r="AV1843" t="s">
        <v>121</v>
      </c>
    </row>
    <row r="1844" spans="20:48">
      <c r="T1844" s="79"/>
      <c r="U1844" s="79"/>
      <c r="AT1844" t="s">
        <v>1069</v>
      </c>
      <c r="AU1844" s="93">
        <v>1827</v>
      </c>
      <c r="AV1844" t="s">
        <v>145</v>
      </c>
    </row>
    <row r="1845" spans="20:48">
      <c r="T1845" s="79"/>
      <c r="U1845" s="79"/>
      <c r="AT1845" t="s">
        <v>1070</v>
      </c>
      <c r="AU1845" s="93">
        <v>1828</v>
      </c>
      <c r="AV1845" t="s">
        <v>120</v>
      </c>
    </row>
    <row r="1846" spans="20:48">
      <c r="T1846" s="79"/>
      <c r="U1846" s="79"/>
      <c r="AT1846" t="s">
        <v>1071</v>
      </c>
      <c r="AU1846" s="93">
        <v>1829</v>
      </c>
      <c r="AV1846" t="s">
        <v>123</v>
      </c>
    </row>
    <row r="1847" spans="20:48">
      <c r="T1847" s="79"/>
      <c r="U1847" s="79"/>
      <c r="AT1847" t="s">
        <v>1072</v>
      </c>
      <c r="AU1847" s="93">
        <v>1830</v>
      </c>
      <c r="AV1847" t="s">
        <v>115</v>
      </c>
    </row>
    <row r="1848" spans="20:48">
      <c r="T1848" s="79"/>
      <c r="U1848" s="79"/>
      <c r="AT1848" t="s">
        <v>1073</v>
      </c>
      <c r="AU1848" s="93">
        <v>1831</v>
      </c>
      <c r="AV1848" t="s">
        <v>136</v>
      </c>
    </row>
    <row r="1849" spans="20:48">
      <c r="T1849" s="79"/>
      <c r="U1849" s="79"/>
      <c r="AT1849" t="s">
        <v>1074</v>
      </c>
      <c r="AU1849" s="93">
        <v>1832</v>
      </c>
      <c r="AV1849" t="s">
        <v>111</v>
      </c>
    </row>
    <row r="1850" spans="20:48">
      <c r="T1850" s="79"/>
      <c r="U1850" s="79"/>
      <c r="AT1850" t="s">
        <v>1075</v>
      </c>
      <c r="AU1850" s="93">
        <v>1833</v>
      </c>
      <c r="AV1850" t="s">
        <v>115</v>
      </c>
    </row>
    <row r="1851" spans="20:48">
      <c r="T1851" s="79"/>
      <c r="U1851" s="79"/>
      <c r="AT1851" t="s">
        <v>1076</v>
      </c>
      <c r="AU1851" s="93">
        <v>1834</v>
      </c>
      <c r="AV1851" t="s">
        <v>136</v>
      </c>
    </row>
    <row r="1852" spans="20:48">
      <c r="T1852" s="79"/>
      <c r="U1852" s="79"/>
      <c r="AT1852" t="s">
        <v>1077</v>
      </c>
      <c r="AU1852" s="93">
        <v>1835</v>
      </c>
      <c r="AV1852" t="s">
        <v>115</v>
      </c>
    </row>
    <row r="1853" spans="20:48">
      <c r="T1853" s="79"/>
      <c r="U1853" s="79"/>
      <c r="AT1853" t="s">
        <v>1078</v>
      </c>
      <c r="AU1853" s="93">
        <v>1836</v>
      </c>
      <c r="AV1853" t="s">
        <v>111</v>
      </c>
    </row>
    <row r="1854" spans="20:48">
      <c r="T1854" s="79"/>
      <c r="U1854" s="79"/>
      <c r="AT1854" t="s">
        <v>1079</v>
      </c>
      <c r="AU1854" s="93">
        <v>1837</v>
      </c>
      <c r="AV1854" t="s">
        <v>141</v>
      </c>
    </row>
    <row r="1855" spans="20:48">
      <c r="T1855" s="79"/>
      <c r="U1855" s="79"/>
      <c r="AT1855" t="s">
        <v>1080</v>
      </c>
      <c r="AU1855" s="93">
        <v>1838</v>
      </c>
      <c r="AV1855" t="s">
        <v>117</v>
      </c>
    </row>
    <row r="1856" spans="20:48">
      <c r="T1856" s="79"/>
      <c r="U1856" s="79"/>
      <c r="AT1856" t="s">
        <v>1081</v>
      </c>
      <c r="AU1856" s="93">
        <v>1839</v>
      </c>
      <c r="AV1856" t="s">
        <v>133</v>
      </c>
    </row>
    <row r="1857" spans="20:48">
      <c r="T1857" s="79"/>
      <c r="U1857" s="79"/>
      <c r="AT1857" t="s">
        <v>1082</v>
      </c>
      <c r="AU1857" s="93">
        <v>1840</v>
      </c>
      <c r="AV1857" t="s">
        <v>115</v>
      </c>
    </row>
    <row r="1858" spans="20:48">
      <c r="T1858" s="79"/>
      <c r="U1858" s="79"/>
      <c r="AT1858" t="s">
        <v>1083</v>
      </c>
      <c r="AU1858" s="93">
        <v>1841</v>
      </c>
      <c r="AV1858" t="s">
        <v>154</v>
      </c>
    </row>
    <row r="1859" spans="20:48">
      <c r="T1859" s="79"/>
      <c r="U1859" s="79"/>
      <c r="AT1859" t="s">
        <v>1084</v>
      </c>
      <c r="AU1859" s="93">
        <v>1842</v>
      </c>
      <c r="AV1859" t="s">
        <v>123</v>
      </c>
    </row>
    <row r="1860" spans="20:48">
      <c r="T1860" s="79"/>
      <c r="U1860" s="79"/>
      <c r="AT1860" t="s">
        <v>1085</v>
      </c>
      <c r="AU1860" s="93">
        <v>1843</v>
      </c>
      <c r="AV1860" t="s">
        <v>117</v>
      </c>
    </row>
    <row r="1861" spans="20:48">
      <c r="T1861" s="79"/>
      <c r="U1861" s="79"/>
      <c r="AT1861" t="s">
        <v>1086</v>
      </c>
      <c r="AU1861" s="93">
        <v>1844</v>
      </c>
      <c r="AV1861" t="s">
        <v>111</v>
      </c>
    </row>
    <row r="1862" spans="20:48">
      <c r="T1862" s="79"/>
      <c r="U1862" s="79"/>
      <c r="AT1862" t="s">
        <v>1087</v>
      </c>
      <c r="AU1862" s="93">
        <v>1845</v>
      </c>
      <c r="AV1862" t="s">
        <v>111</v>
      </c>
    </row>
    <row r="1863" spans="20:48">
      <c r="T1863" s="79"/>
      <c r="U1863" s="79"/>
      <c r="AT1863" t="s">
        <v>1088</v>
      </c>
      <c r="AU1863" s="93">
        <v>1846</v>
      </c>
      <c r="AV1863" t="s">
        <v>128</v>
      </c>
    </row>
    <row r="1864" spans="20:48">
      <c r="T1864" s="79"/>
      <c r="U1864" s="79"/>
      <c r="AT1864" t="s">
        <v>1089</v>
      </c>
      <c r="AU1864" s="93">
        <v>1847</v>
      </c>
      <c r="AV1864" t="s">
        <v>111</v>
      </c>
    </row>
    <row r="1865" spans="20:48">
      <c r="T1865" s="79"/>
      <c r="U1865" s="79"/>
      <c r="AT1865" t="s">
        <v>1090</v>
      </c>
      <c r="AU1865" s="93">
        <v>1848</v>
      </c>
      <c r="AV1865" t="s">
        <v>117</v>
      </c>
    </row>
    <row r="1866" spans="20:48">
      <c r="T1866" s="79"/>
      <c r="U1866" s="79"/>
      <c r="AT1866" t="s">
        <v>1091</v>
      </c>
      <c r="AU1866" s="93">
        <v>1849</v>
      </c>
      <c r="AV1866" t="s">
        <v>1092</v>
      </c>
    </row>
    <row r="1867" spans="20:48">
      <c r="T1867" s="79"/>
      <c r="U1867" s="79"/>
      <c r="AT1867" t="s">
        <v>1093</v>
      </c>
      <c r="AU1867" s="93">
        <v>1850</v>
      </c>
      <c r="AV1867" t="s">
        <v>117</v>
      </c>
    </row>
    <row r="1868" spans="20:48">
      <c r="T1868" s="79"/>
      <c r="U1868" s="79"/>
      <c r="AT1868" t="s">
        <v>1094</v>
      </c>
      <c r="AU1868" s="93">
        <v>1851</v>
      </c>
      <c r="AV1868" t="s">
        <v>117</v>
      </c>
    </row>
    <row r="1869" spans="20:48">
      <c r="T1869" s="79"/>
      <c r="U1869" s="79"/>
      <c r="AT1869" t="s">
        <v>1095</v>
      </c>
      <c r="AU1869" s="93">
        <v>1852</v>
      </c>
      <c r="AV1869" t="s">
        <v>123</v>
      </c>
    </row>
    <row r="1870" spans="20:48">
      <c r="T1870" s="79"/>
      <c r="U1870" s="79"/>
      <c r="AT1870" t="s">
        <v>1096</v>
      </c>
      <c r="AU1870" s="93">
        <v>1853</v>
      </c>
      <c r="AV1870" t="s">
        <v>120</v>
      </c>
    </row>
    <row r="1871" spans="20:48">
      <c r="T1871" s="79"/>
      <c r="U1871" s="79"/>
      <c r="AT1871" t="s">
        <v>1097</v>
      </c>
      <c r="AU1871" s="93">
        <v>1854</v>
      </c>
      <c r="AV1871" t="s">
        <v>115</v>
      </c>
    </row>
    <row r="1872" spans="20:48">
      <c r="T1872" s="79"/>
      <c r="U1872" s="79"/>
      <c r="AT1872" t="s">
        <v>1098</v>
      </c>
      <c r="AU1872" s="93">
        <v>1855</v>
      </c>
      <c r="AV1872" t="s">
        <v>115</v>
      </c>
    </row>
    <row r="1873" spans="20:48">
      <c r="T1873" s="79"/>
      <c r="U1873" s="79"/>
      <c r="AT1873" t="s">
        <v>1099</v>
      </c>
      <c r="AU1873" s="93">
        <v>1856</v>
      </c>
      <c r="AV1873" t="s">
        <v>150</v>
      </c>
    </row>
    <row r="1874" spans="20:48">
      <c r="T1874" s="79"/>
      <c r="U1874" s="79"/>
      <c r="AT1874" t="s">
        <v>1100</v>
      </c>
      <c r="AU1874" s="93">
        <v>1857</v>
      </c>
      <c r="AV1874" t="s">
        <v>117</v>
      </c>
    </row>
    <row r="1875" spans="20:48">
      <c r="T1875" s="79"/>
      <c r="U1875" s="79"/>
      <c r="AT1875" t="s">
        <v>1101</v>
      </c>
      <c r="AU1875" s="93">
        <v>1858</v>
      </c>
      <c r="AV1875" t="s">
        <v>120</v>
      </c>
    </row>
    <row r="1876" spans="20:48">
      <c r="T1876" s="79"/>
      <c r="U1876" s="79"/>
      <c r="AT1876" t="s">
        <v>1102</v>
      </c>
      <c r="AU1876" s="93">
        <v>1859</v>
      </c>
      <c r="AV1876" t="s">
        <v>117</v>
      </c>
    </row>
    <row r="1877" spans="20:48">
      <c r="T1877" s="79"/>
      <c r="U1877" s="79"/>
      <c r="AT1877" t="s">
        <v>1103</v>
      </c>
      <c r="AU1877" s="93">
        <v>1860</v>
      </c>
      <c r="AV1877" t="s">
        <v>114</v>
      </c>
    </row>
    <row r="1878" spans="20:48">
      <c r="T1878" s="79"/>
      <c r="U1878" s="79"/>
      <c r="AT1878" t="s">
        <v>1104</v>
      </c>
      <c r="AU1878" s="93">
        <v>1861</v>
      </c>
      <c r="AV1878" t="s">
        <v>117</v>
      </c>
    </row>
    <row r="1879" spans="20:48">
      <c r="T1879" s="79"/>
      <c r="U1879" s="79"/>
      <c r="AT1879" t="s">
        <v>1105</v>
      </c>
      <c r="AU1879" s="93">
        <v>1862</v>
      </c>
      <c r="AV1879" t="s">
        <v>131</v>
      </c>
    </row>
    <row r="1880" spans="20:48">
      <c r="T1880" s="79"/>
      <c r="U1880" s="79"/>
      <c r="AT1880" t="s">
        <v>1106</v>
      </c>
      <c r="AU1880" s="93">
        <v>1863</v>
      </c>
      <c r="AV1880" t="s">
        <v>117</v>
      </c>
    </row>
    <row r="1881" spans="20:48">
      <c r="T1881" s="79"/>
      <c r="U1881" s="79"/>
      <c r="AT1881" t="s">
        <v>1107</v>
      </c>
      <c r="AU1881" s="93">
        <v>1864</v>
      </c>
      <c r="AV1881" t="s">
        <v>111</v>
      </c>
    </row>
    <row r="1882" spans="20:48">
      <c r="T1882" s="79"/>
      <c r="U1882" s="79"/>
      <c r="AT1882" t="s">
        <v>1108</v>
      </c>
      <c r="AU1882" s="93">
        <v>1865</v>
      </c>
      <c r="AV1882" t="s">
        <v>117</v>
      </c>
    </row>
    <row r="1883" spans="20:48">
      <c r="T1883" s="79"/>
      <c r="U1883" s="79"/>
      <c r="AT1883" t="s">
        <v>1109</v>
      </c>
      <c r="AU1883" s="93">
        <v>1866</v>
      </c>
      <c r="AV1883" t="s">
        <v>117</v>
      </c>
    </row>
    <row r="1884" spans="20:48">
      <c r="T1884" s="79"/>
      <c r="U1884" s="79"/>
      <c r="AT1884" t="s">
        <v>1110</v>
      </c>
      <c r="AU1884" s="93">
        <v>1867</v>
      </c>
      <c r="AV1884" t="s">
        <v>111</v>
      </c>
    </row>
    <row r="1885" spans="20:48">
      <c r="T1885" s="79"/>
      <c r="U1885" s="79"/>
      <c r="AT1885" t="s">
        <v>1111</v>
      </c>
      <c r="AU1885" s="93">
        <v>1868</v>
      </c>
      <c r="AV1885" t="s">
        <v>111</v>
      </c>
    </row>
    <row r="1886" spans="20:48">
      <c r="T1886" s="79"/>
      <c r="U1886" s="79"/>
      <c r="AT1886" t="s">
        <v>1112</v>
      </c>
      <c r="AU1886" s="93">
        <v>1869</v>
      </c>
      <c r="AV1886" t="s">
        <v>147</v>
      </c>
    </row>
    <row r="1887" spans="20:48">
      <c r="T1887" s="79"/>
      <c r="U1887" s="79"/>
      <c r="AT1887" t="s">
        <v>1113</v>
      </c>
      <c r="AU1887" s="93">
        <v>1870</v>
      </c>
      <c r="AV1887" t="s">
        <v>118</v>
      </c>
    </row>
    <row r="1888" spans="20:48">
      <c r="T1888" s="79"/>
      <c r="U1888" s="79"/>
      <c r="AT1888" t="s">
        <v>1114</v>
      </c>
      <c r="AU1888" s="93">
        <v>1871</v>
      </c>
      <c r="AV1888" t="s">
        <v>111</v>
      </c>
    </row>
    <row r="1889" spans="20:48">
      <c r="T1889" s="79"/>
      <c r="U1889" s="79"/>
      <c r="AT1889" t="s">
        <v>1115</v>
      </c>
      <c r="AU1889" s="93">
        <v>1872</v>
      </c>
      <c r="AV1889" t="s">
        <v>120</v>
      </c>
    </row>
    <row r="1890" spans="20:48">
      <c r="T1890" s="79"/>
      <c r="U1890" s="79"/>
      <c r="AT1890" t="s">
        <v>1116</v>
      </c>
      <c r="AU1890" s="93">
        <v>1873</v>
      </c>
      <c r="AV1890" t="s">
        <v>145</v>
      </c>
    </row>
    <row r="1891" spans="20:48">
      <c r="T1891" s="79"/>
      <c r="U1891" s="79"/>
      <c r="AT1891" t="s">
        <v>1117</v>
      </c>
      <c r="AU1891" s="93">
        <v>1874</v>
      </c>
      <c r="AV1891" t="s">
        <v>111</v>
      </c>
    </row>
    <row r="1892" spans="20:48">
      <c r="T1892" s="79"/>
      <c r="U1892" s="79"/>
      <c r="AT1892" t="s">
        <v>1118</v>
      </c>
      <c r="AU1892" s="93">
        <v>1875</v>
      </c>
      <c r="AV1892" t="s">
        <v>111</v>
      </c>
    </row>
    <row r="1893" spans="20:48">
      <c r="T1893" s="79"/>
      <c r="U1893" s="79"/>
      <c r="AT1893" t="s">
        <v>1119</v>
      </c>
      <c r="AU1893" s="93">
        <v>1876</v>
      </c>
      <c r="AV1893" t="s">
        <v>145</v>
      </c>
    </row>
    <row r="1894" spans="20:48">
      <c r="T1894" s="79"/>
      <c r="U1894" s="79"/>
      <c r="AT1894" t="s">
        <v>1120</v>
      </c>
      <c r="AU1894" s="93">
        <v>1877</v>
      </c>
      <c r="AV1894" t="s">
        <v>113</v>
      </c>
    </row>
    <row r="1895" spans="20:48">
      <c r="T1895" s="79"/>
      <c r="U1895" s="79"/>
      <c r="AT1895" t="s">
        <v>1121</v>
      </c>
      <c r="AU1895" s="93">
        <v>1878</v>
      </c>
      <c r="AV1895" t="s">
        <v>136</v>
      </c>
    </row>
    <row r="1896" spans="20:48">
      <c r="T1896" s="79"/>
      <c r="U1896" s="79"/>
      <c r="AT1896" t="s">
        <v>1122</v>
      </c>
      <c r="AU1896" s="93">
        <v>1879</v>
      </c>
      <c r="AV1896" t="s">
        <v>136</v>
      </c>
    </row>
    <row r="1897" spans="20:48">
      <c r="T1897" s="79"/>
      <c r="U1897" s="79"/>
      <c r="AT1897" t="s">
        <v>1123</v>
      </c>
      <c r="AU1897" s="93">
        <v>1880</v>
      </c>
      <c r="AV1897" t="s">
        <v>123</v>
      </c>
    </row>
    <row r="1898" spans="20:48">
      <c r="T1898" s="79"/>
      <c r="U1898" s="79"/>
      <c r="AT1898" t="s">
        <v>1124</v>
      </c>
      <c r="AU1898" s="93">
        <v>1881</v>
      </c>
      <c r="AV1898" t="s">
        <v>123</v>
      </c>
    </row>
    <row r="1899" spans="20:48">
      <c r="T1899" s="79"/>
      <c r="U1899" s="79"/>
      <c r="AT1899" t="s">
        <v>1125</v>
      </c>
      <c r="AU1899" s="93">
        <v>1882</v>
      </c>
      <c r="AV1899" t="s">
        <v>611</v>
      </c>
    </row>
    <row r="1900" spans="20:48">
      <c r="T1900" s="79"/>
      <c r="U1900" s="79"/>
      <c r="AT1900" t="s">
        <v>1126</v>
      </c>
      <c r="AU1900" s="93">
        <v>1883</v>
      </c>
      <c r="AV1900" t="s">
        <v>145</v>
      </c>
    </row>
    <row r="1901" spans="20:48">
      <c r="T1901" s="79"/>
      <c r="U1901" s="79"/>
      <c r="AT1901" t="s">
        <v>1127</v>
      </c>
      <c r="AU1901" s="93">
        <v>1884</v>
      </c>
      <c r="AV1901" t="s">
        <v>145</v>
      </c>
    </row>
    <row r="1902" spans="20:48">
      <c r="T1902" s="79"/>
      <c r="U1902" s="79"/>
      <c r="AT1902" t="s">
        <v>1128</v>
      </c>
      <c r="AU1902" s="93">
        <v>1885</v>
      </c>
      <c r="AV1902" t="s">
        <v>145</v>
      </c>
    </row>
    <row r="1903" spans="20:48">
      <c r="T1903" s="79"/>
      <c r="U1903" s="79"/>
      <c r="AT1903" t="s">
        <v>1129</v>
      </c>
      <c r="AU1903" s="93">
        <v>1886</v>
      </c>
      <c r="AV1903" t="s">
        <v>145</v>
      </c>
    </row>
    <row r="1904" spans="20:48">
      <c r="T1904" s="79"/>
      <c r="U1904" s="79"/>
      <c r="AT1904" t="s">
        <v>1130</v>
      </c>
      <c r="AU1904" s="93">
        <v>1887</v>
      </c>
      <c r="AV1904" t="s">
        <v>145</v>
      </c>
    </row>
    <row r="1905" spans="20:48">
      <c r="T1905" s="79"/>
      <c r="U1905" s="79"/>
      <c r="AT1905" t="s">
        <v>1131</v>
      </c>
      <c r="AU1905" s="93">
        <v>1888</v>
      </c>
      <c r="AV1905" t="s">
        <v>145</v>
      </c>
    </row>
    <row r="1906" spans="20:48">
      <c r="T1906" s="79"/>
      <c r="U1906" s="79"/>
      <c r="AT1906" t="s">
        <v>1132</v>
      </c>
      <c r="AU1906" s="93">
        <v>1889</v>
      </c>
      <c r="AV1906" t="s">
        <v>132</v>
      </c>
    </row>
    <row r="1907" spans="20:48">
      <c r="T1907" s="79"/>
      <c r="U1907" s="79"/>
      <c r="AT1907" t="s">
        <v>1133</v>
      </c>
      <c r="AU1907" s="93">
        <v>1890</v>
      </c>
      <c r="AV1907" t="s">
        <v>117</v>
      </c>
    </row>
    <row r="1908" spans="20:48">
      <c r="T1908" s="79"/>
      <c r="U1908" s="79"/>
      <c r="AT1908" t="s">
        <v>1134</v>
      </c>
      <c r="AU1908" s="93">
        <v>1891</v>
      </c>
      <c r="AV1908" t="s">
        <v>123</v>
      </c>
    </row>
    <row r="1909" spans="20:48">
      <c r="T1909" s="79"/>
      <c r="U1909" s="79"/>
      <c r="AT1909" t="s">
        <v>1135</v>
      </c>
      <c r="AU1909" s="93">
        <v>1892</v>
      </c>
      <c r="AV1909" t="s">
        <v>111</v>
      </c>
    </row>
    <row r="1910" spans="20:48">
      <c r="T1910" s="79"/>
      <c r="U1910" s="79"/>
      <c r="AT1910" t="s">
        <v>1136</v>
      </c>
      <c r="AU1910" s="93">
        <v>1893</v>
      </c>
      <c r="AV1910" t="s">
        <v>111</v>
      </c>
    </row>
    <row r="1911" spans="20:48">
      <c r="T1911" s="79"/>
      <c r="U1911" s="79"/>
      <c r="AT1911" t="s">
        <v>1137</v>
      </c>
      <c r="AU1911" s="93">
        <v>1894</v>
      </c>
      <c r="AV1911" t="s">
        <v>111</v>
      </c>
    </row>
    <row r="1912" spans="20:48">
      <c r="T1912" s="79"/>
      <c r="U1912" s="79"/>
      <c r="AT1912" t="s">
        <v>1138</v>
      </c>
      <c r="AU1912" s="93">
        <v>1895</v>
      </c>
      <c r="AV1912" t="s">
        <v>127</v>
      </c>
    </row>
    <row r="1913" spans="20:48">
      <c r="T1913" s="79"/>
      <c r="U1913" s="79"/>
      <c r="AT1913" t="s">
        <v>1139</v>
      </c>
      <c r="AU1913" s="93">
        <v>1896</v>
      </c>
      <c r="AV1913" t="s">
        <v>144</v>
      </c>
    </row>
    <row r="1914" spans="20:48">
      <c r="T1914" s="79"/>
      <c r="U1914" s="79"/>
      <c r="AT1914" t="s">
        <v>1140</v>
      </c>
      <c r="AU1914" s="93">
        <v>1897</v>
      </c>
      <c r="AV1914" t="s">
        <v>132</v>
      </c>
    </row>
    <row r="1915" spans="20:48">
      <c r="T1915" s="79"/>
      <c r="U1915" s="79"/>
      <c r="AT1915" t="s">
        <v>1141</v>
      </c>
      <c r="AU1915" s="93">
        <v>1898</v>
      </c>
      <c r="AV1915" t="s">
        <v>144</v>
      </c>
    </row>
    <row r="1916" spans="20:48">
      <c r="T1916" s="79"/>
      <c r="U1916" s="79"/>
      <c r="AT1916" t="s">
        <v>1142</v>
      </c>
      <c r="AU1916" s="93">
        <v>1899</v>
      </c>
      <c r="AV1916" t="s">
        <v>111</v>
      </c>
    </row>
    <row r="1917" spans="20:48">
      <c r="T1917" s="79"/>
      <c r="U1917" s="79"/>
      <c r="AT1917" t="s">
        <v>1143</v>
      </c>
      <c r="AU1917" s="93">
        <v>1900</v>
      </c>
      <c r="AV1917" t="s">
        <v>130</v>
      </c>
    </row>
    <row r="1918" spans="20:48">
      <c r="T1918" s="79"/>
      <c r="U1918" s="79"/>
      <c r="AT1918" t="s">
        <v>1144</v>
      </c>
      <c r="AU1918" s="93">
        <v>1901</v>
      </c>
      <c r="AV1918" t="s">
        <v>121</v>
      </c>
    </row>
    <row r="1919" spans="20:48">
      <c r="T1919" s="79"/>
      <c r="U1919" s="79"/>
      <c r="AT1919" t="s">
        <v>1145</v>
      </c>
      <c r="AU1919" s="93">
        <v>1902</v>
      </c>
      <c r="AV1919" t="s">
        <v>130</v>
      </c>
    </row>
    <row r="1920" spans="20:48">
      <c r="T1920" s="79"/>
      <c r="U1920" s="79"/>
      <c r="AT1920" t="s">
        <v>1146</v>
      </c>
      <c r="AU1920" s="93">
        <v>1903</v>
      </c>
      <c r="AV1920" t="s">
        <v>130</v>
      </c>
    </row>
    <row r="1921" spans="20:48">
      <c r="T1921" s="79"/>
      <c r="U1921" s="79"/>
      <c r="AT1921" t="s">
        <v>1147</v>
      </c>
      <c r="AU1921" s="93">
        <v>1904</v>
      </c>
      <c r="AV1921" t="s">
        <v>123</v>
      </c>
    </row>
    <row r="1922" spans="20:48">
      <c r="T1922" s="79"/>
      <c r="U1922" s="79"/>
      <c r="AT1922" t="s">
        <v>1148</v>
      </c>
      <c r="AU1922" s="93">
        <v>1905</v>
      </c>
      <c r="AV1922" t="s">
        <v>123</v>
      </c>
    </row>
    <row r="1923" spans="20:48">
      <c r="T1923" s="79"/>
      <c r="U1923" s="79"/>
      <c r="AT1923" t="s">
        <v>1149</v>
      </c>
      <c r="AU1923" s="93">
        <v>1906</v>
      </c>
      <c r="AV1923" t="s">
        <v>121</v>
      </c>
    </row>
    <row r="1924" spans="20:48">
      <c r="T1924" s="79"/>
      <c r="U1924" s="79"/>
      <c r="AT1924" t="s">
        <v>1150</v>
      </c>
      <c r="AU1924" s="93">
        <v>1907</v>
      </c>
      <c r="AV1924" t="s">
        <v>145</v>
      </c>
    </row>
    <row r="1925" spans="20:48">
      <c r="T1925" s="79"/>
      <c r="U1925" s="79"/>
      <c r="AT1925" t="s">
        <v>1151</v>
      </c>
      <c r="AU1925" s="93">
        <v>1908</v>
      </c>
      <c r="AV1925" t="s">
        <v>145</v>
      </c>
    </row>
    <row r="1926" spans="20:48">
      <c r="T1926" s="79"/>
      <c r="U1926" s="79"/>
      <c r="AT1926" t="s">
        <v>1152</v>
      </c>
      <c r="AU1926" s="93">
        <v>1909</v>
      </c>
      <c r="AV1926" t="s">
        <v>111</v>
      </c>
    </row>
    <row r="1927" spans="20:48">
      <c r="T1927" s="79"/>
      <c r="U1927" s="79"/>
      <c r="AT1927" t="s">
        <v>1153</v>
      </c>
      <c r="AU1927" s="93">
        <v>1910</v>
      </c>
      <c r="AV1927" t="s">
        <v>145</v>
      </c>
    </row>
    <row r="1928" spans="20:48">
      <c r="T1928" s="79"/>
      <c r="U1928" s="79"/>
      <c r="AT1928" t="s">
        <v>1154</v>
      </c>
      <c r="AU1928" s="93">
        <v>1911</v>
      </c>
      <c r="AV1928" t="s">
        <v>123</v>
      </c>
    </row>
    <row r="1929" spans="20:48">
      <c r="T1929" s="79"/>
      <c r="U1929" s="79"/>
      <c r="AT1929" t="s">
        <v>1155</v>
      </c>
      <c r="AU1929" s="93">
        <v>1912</v>
      </c>
      <c r="AV1929" t="s">
        <v>123</v>
      </c>
    </row>
    <row r="1930" spans="20:48">
      <c r="T1930" s="79"/>
      <c r="U1930" s="79"/>
      <c r="AT1930" t="s">
        <v>1156</v>
      </c>
      <c r="AU1930" s="93">
        <v>1913</v>
      </c>
      <c r="AV1930" t="s">
        <v>150</v>
      </c>
    </row>
    <row r="1931" spans="20:48">
      <c r="T1931" s="79"/>
      <c r="U1931" s="79"/>
      <c r="AT1931" t="s">
        <v>1157</v>
      </c>
      <c r="AU1931" s="93">
        <v>1914</v>
      </c>
      <c r="AV1931" t="s">
        <v>147</v>
      </c>
    </row>
    <row r="1932" spans="20:48">
      <c r="T1932" s="79"/>
      <c r="U1932" s="79"/>
      <c r="AT1932" t="s">
        <v>1158</v>
      </c>
      <c r="AU1932" s="93">
        <v>1915</v>
      </c>
      <c r="AV1932" t="s">
        <v>111</v>
      </c>
    </row>
    <row r="1933" spans="20:48">
      <c r="T1933" s="79"/>
      <c r="U1933" s="79"/>
      <c r="AT1933" t="s">
        <v>1159</v>
      </c>
      <c r="AU1933" s="93">
        <v>1916</v>
      </c>
      <c r="AV1933" t="s">
        <v>647</v>
      </c>
    </row>
    <row r="1934" spans="20:48">
      <c r="T1934" s="79"/>
      <c r="U1934" s="79"/>
      <c r="AT1934" t="s">
        <v>1160</v>
      </c>
      <c r="AU1934" s="93">
        <v>1917</v>
      </c>
      <c r="AV1934" t="s">
        <v>120</v>
      </c>
    </row>
    <row r="1935" spans="20:48">
      <c r="T1935" s="79"/>
      <c r="U1935" s="79"/>
      <c r="AT1935" t="s">
        <v>1161</v>
      </c>
      <c r="AU1935" s="93">
        <v>1918</v>
      </c>
      <c r="AV1935" t="s">
        <v>117</v>
      </c>
    </row>
    <row r="1936" spans="20:48">
      <c r="T1936" s="79"/>
      <c r="U1936" s="79"/>
      <c r="AT1936" t="s">
        <v>1162</v>
      </c>
      <c r="AU1936" s="93">
        <v>1919</v>
      </c>
      <c r="AV1936" t="s">
        <v>117</v>
      </c>
    </row>
    <row r="1937" spans="20:48">
      <c r="T1937" s="79"/>
      <c r="U1937" s="79"/>
      <c r="AT1937" t="s">
        <v>1163</v>
      </c>
      <c r="AU1937" s="93">
        <v>1920</v>
      </c>
      <c r="AV1937" t="s">
        <v>148</v>
      </c>
    </row>
    <row r="1938" spans="20:48">
      <c r="T1938" s="79"/>
      <c r="U1938" s="79"/>
      <c r="AT1938" t="s">
        <v>1164</v>
      </c>
      <c r="AU1938" s="93">
        <v>1921</v>
      </c>
      <c r="AV1938" t="s">
        <v>111</v>
      </c>
    </row>
    <row r="1939" spans="20:48">
      <c r="T1939" s="79"/>
      <c r="U1939" s="79"/>
      <c r="AT1939" t="s">
        <v>1165</v>
      </c>
      <c r="AU1939" s="93">
        <v>1922</v>
      </c>
      <c r="AV1939" t="s">
        <v>147</v>
      </c>
    </row>
    <row r="1940" spans="20:48">
      <c r="T1940" s="79"/>
      <c r="U1940" s="79"/>
      <c r="AT1940" t="s">
        <v>1166</v>
      </c>
      <c r="AU1940" s="93">
        <v>1923</v>
      </c>
      <c r="AV1940" t="s">
        <v>117</v>
      </c>
    </row>
    <row r="1941" spans="20:48">
      <c r="T1941" s="79"/>
      <c r="U1941" s="79"/>
      <c r="AT1941" t="s">
        <v>1167</v>
      </c>
      <c r="AU1941" s="93">
        <v>1924</v>
      </c>
      <c r="AV1941" t="s">
        <v>117</v>
      </c>
    </row>
    <row r="1942" spans="20:48">
      <c r="T1942" s="79"/>
      <c r="U1942" s="79"/>
      <c r="AT1942" t="s">
        <v>1168</v>
      </c>
      <c r="AU1942" s="93">
        <v>1925</v>
      </c>
      <c r="AV1942" t="s">
        <v>117</v>
      </c>
    </row>
    <row r="1943" spans="20:48">
      <c r="T1943" s="79"/>
      <c r="U1943" s="79"/>
      <c r="AT1943" t="s">
        <v>1169</v>
      </c>
      <c r="AU1943" s="93">
        <v>1926</v>
      </c>
      <c r="AV1943" t="s">
        <v>117</v>
      </c>
    </row>
    <row r="1944" spans="20:48">
      <c r="T1944" s="79"/>
      <c r="U1944" s="79"/>
      <c r="AT1944" t="s">
        <v>1170</v>
      </c>
      <c r="AU1944" s="93">
        <v>1927</v>
      </c>
      <c r="AV1944" t="s">
        <v>117</v>
      </c>
    </row>
    <row r="1945" spans="20:48">
      <c r="T1945" s="79"/>
      <c r="U1945" s="79"/>
      <c r="AT1945" t="s">
        <v>1171</v>
      </c>
      <c r="AU1945" s="93">
        <v>1928</v>
      </c>
      <c r="AV1945" t="s">
        <v>117</v>
      </c>
    </row>
    <row r="1946" spans="20:48">
      <c r="T1946" s="79"/>
      <c r="U1946" s="79"/>
      <c r="AT1946" t="s">
        <v>1172</v>
      </c>
      <c r="AU1946" s="93">
        <v>1929</v>
      </c>
      <c r="AV1946" t="s">
        <v>117</v>
      </c>
    </row>
    <row r="1947" spans="20:48">
      <c r="T1947" s="79"/>
      <c r="U1947" s="79"/>
      <c r="AT1947" t="s">
        <v>1173</v>
      </c>
      <c r="AU1947" s="93">
        <v>1930</v>
      </c>
      <c r="AV1947" t="s">
        <v>123</v>
      </c>
    </row>
    <row r="1948" spans="20:48">
      <c r="T1948" s="79"/>
      <c r="U1948" s="79"/>
      <c r="AT1948" t="s">
        <v>1174</v>
      </c>
      <c r="AU1948" s="93">
        <v>1931</v>
      </c>
      <c r="AV1948" t="s">
        <v>141</v>
      </c>
    </row>
    <row r="1949" spans="20:48">
      <c r="T1949" s="79"/>
      <c r="U1949" s="79"/>
      <c r="AT1949" t="s">
        <v>1175</v>
      </c>
      <c r="AU1949" s="93">
        <v>1932</v>
      </c>
      <c r="AV1949" t="s">
        <v>141</v>
      </c>
    </row>
    <row r="1950" spans="20:48">
      <c r="T1950" s="79"/>
      <c r="U1950" s="79"/>
      <c r="AT1950" t="s">
        <v>1176</v>
      </c>
      <c r="AU1950" s="93">
        <v>1933</v>
      </c>
      <c r="AV1950" t="s">
        <v>592</v>
      </c>
    </row>
    <row r="1951" spans="20:48">
      <c r="T1951" s="79"/>
      <c r="U1951" s="79"/>
      <c r="AT1951" t="s">
        <v>1177</v>
      </c>
      <c r="AU1951" s="93">
        <v>1934</v>
      </c>
      <c r="AV1951" t="s">
        <v>136</v>
      </c>
    </row>
    <row r="1952" spans="20:48">
      <c r="T1952" s="79"/>
      <c r="U1952" s="79"/>
      <c r="AT1952" t="s">
        <v>1178</v>
      </c>
      <c r="AU1952" s="93">
        <v>1935</v>
      </c>
      <c r="AV1952" t="s">
        <v>111</v>
      </c>
    </row>
    <row r="1953" spans="20:48">
      <c r="T1953" s="79"/>
      <c r="U1953" s="79"/>
      <c r="AT1953" t="s">
        <v>1179</v>
      </c>
      <c r="AU1953" s="93">
        <v>1936</v>
      </c>
      <c r="AV1953" t="s">
        <v>111</v>
      </c>
    </row>
    <row r="1954" spans="20:48">
      <c r="T1954" s="79"/>
      <c r="U1954" s="79"/>
      <c r="AT1954" t="s">
        <v>1180</v>
      </c>
      <c r="AU1954" s="93">
        <v>1937</v>
      </c>
      <c r="AV1954" t="s">
        <v>111</v>
      </c>
    </row>
    <row r="1955" spans="20:48">
      <c r="T1955" s="79"/>
      <c r="U1955" s="79"/>
      <c r="AT1955" t="s">
        <v>1181</v>
      </c>
      <c r="AU1955" s="93">
        <v>1938</v>
      </c>
      <c r="AV1955" t="s">
        <v>111</v>
      </c>
    </row>
    <row r="1956" spans="20:48">
      <c r="T1956" s="79"/>
      <c r="U1956" s="79"/>
      <c r="AT1956" t="s">
        <v>1182</v>
      </c>
      <c r="AU1956" s="93">
        <v>1939</v>
      </c>
      <c r="AV1956" t="s">
        <v>111</v>
      </c>
    </row>
    <row r="1957" spans="20:48">
      <c r="T1957" s="79"/>
      <c r="U1957" s="79"/>
      <c r="AT1957" t="s">
        <v>1183</v>
      </c>
      <c r="AU1957" s="93">
        <v>1940</v>
      </c>
      <c r="AV1957" t="s">
        <v>611</v>
      </c>
    </row>
    <row r="1958" spans="20:48">
      <c r="T1958" s="79"/>
      <c r="U1958" s="79"/>
      <c r="AT1958" t="s">
        <v>1184</v>
      </c>
      <c r="AU1958" s="93">
        <v>1941</v>
      </c>
      <c r="AV1958" t="s">
        <v>611</v>
      </c>
    </row>
    <row r="1959" spans="20:48">
      <c r="T1959" s="79"/>
      <c r="U1959" s="79"/>
      <c r="AT1959" t="s">
        <v>1185</v>
      </c>
      <c r="AU1959" s="93">
        <v>1942</v>
      </c>
      <c r="AV1959" t="s">
        <v>145</v>
      </c>
    </row>
    <row r="1960" spans="20:48">
      <c r="T1960" s="79"/>
      <c r="U1960" s="79"/>
      <c r="AT1960" t="s">
        <v>1186</v>
      </c>
      <c r="AU1960" s="93">
        <v>1943</v>
      </c>
      <c r="AV1960" t="s">
        <v>145</v>
      </c>
    </row>
    <row r="1961" spans="20:48">
      <c r="T1961" s="79"/>
      <c r="U1961" s="79"/>
      <c r="AT1961" t="s">
        <v>1187</v>
      </c>
      <c r="AU1961" s="93">
        <v>1944</v>
      </c>
      <c r="AV1961" t="s">
        <v>145</v>
      </c>
    </row>
    <row r="1962" spans="20:48">
      <c r="T1962" s="79"/>
      <c r="U1962" s="79"/>
      <c r="AT1962" t="s">
        <v>1188</v>
      </c>
      <c r="AU1962" s="93">
        <v>1945</v>
      </c>
      <c r="AV1962" t="s">
        <v>145</v>
      </c>
    </row>
    <row r="1963" spans="20:48">
      <c r="T1963" s="79"/>
      <c r="U1963" s="79"/>
      <c r="AT1963" t="s">
        <v>1189</v>
      </c>
      <c r="AU1963" s="93">
        <v>1946</v>
      </c>
      <c r="AV1963" t="s">
        <v>145</v>
      </c>
    </row>
    <row r="1964" spans="20:48">
      <c r="T1964" s="79"/>
      <c r="U1964" s="79"/>
      <c r="AT1964" t="s">
        <v>1190</v>
      </c>
      <c r="AU1964" s="93">
        <v>1947</v>
      </c>
      <c r="AV1964" t="s">
        <v>130</v>
      </c>
    </row>
    <row r="1965" spans="20:48">
      <c r="T1965" s="79"/>
      <c r="U1965" s="79"/>
      <c r="AT1965" t="s">
        <v>1191</v>
      </c>
      <c r="AU1965" s="93">
        <v>1948</v>
      </c>
      <c r="AV1965" t="s">
        <v>147</v>
      </c>
    </row>
    <row r="1966" spans="20:48">
      <c r="T1966" s="79"/>
      <c r="U1966" s="79"/>
      <c r="AT1966" t="s">
        <v>1192</v>
      </c>
      <c r="AU1966" s="93">
        <v>1949</v>
      </c>
      <c r="AV1966" t="s">
        <v>147</v>
      </c>
    </row>
    <row r="1967" spans="20:48">
      <c r="T1967" s="79"/>
      <c r="U1967" s="79"/>
      <c r="AT1967" t="s">
        <v>1193</v>
      </c>
      <c r="AU1967" s="93">
        <v>1950</v>
      </c>
      <c r="AV1967" t="s">
        <v>157</v>
      </c>
    </row>
    <row r="1968" spans="20:48">
      <c r="T1968" s="79"/>
      <c r="U1968" s="79"/>
      <c r="AT1968" t="s">
        <v>1194</v>
      </c>
      <c r="AU1968" s="93">
        <v>1951</v>
      </c>
      <c r="AV1968" t="s">
        <v>117</v>
      </c>
    </row>
    <row r="1969" spans="20:48">
      <c r="T1969" s="79"/>
      <c r="U1969" s="79"/>
      <c r="AT1969" t="s">
        <v>1195</v>
      </c>
      <c r="AU1969" s="93">
        <v>1952</v>
      </c>
      <c r="AV1969" t="s">
        <v>117</v>
      </c>
    </row>
    <row r="1970" spans="20:48">
      <c r="T1970" s="79"/>
      <c r="U1970" s="79"/>
      <c r="AT1970" t="s">
        <v>1196</v>
      </c>
      <c r="AU1970" s="93">
        <v>1953</v>
      </c>
      <c r="AV1970" t="s">
        <v>138</v>
      </c>
    </row>
    <row r="1971" spans="20:48">
      <c r="T1971" s="79"/>
      <c r="U1971" s="79"/>
      <c r="AT1971" t="s">
        <v>1197</v>
      </c>
      <c r="AU1971" s="93">
        <v>1954</v>
      </c>
      <c r="AV1971" t="s">
        <v>117</v>
      </c>
    </row>
    <row r="1972" spans="20:48">
      <c r="T1972" s="79"/>
      <c r="U1972" s="79"/>
      <c r="AT1972" t="s">
        <v>1198</v>
      </c>
      <c r="AU1972" s="93">
        <v>1955</v>
      </c>
      <c r="AV1972" t="s">
        <v>117</v>
      </c>
    </row>
    <row r="1973" spans="20:48">
      <c r="T1973" s="79"/>
      <c r="U1973" s="79"/>
      <c r="AT1973" t="s">
        <v>1199</v>
      </c>
      <c r="AU1973" s="93">
        <v>1956</v>
      </c>
      <c r="AV1973" t="s">
        <v>874</v>
      </c>
    </row>
    <row r="1974" spans="20:48">
      <c r="T1974" s="79"/>
      <c r="U1974" s="79"/>
      <c r="AT1974" t="s">
        <v>1200</v>
      </c>
      <c r="AU1974" s="93">
        <v>1957</v>
      </c>
      <c r="AV1974" t="s">
        <v>114</v>
      </c>
    </row>
    <row r="1975" spans="20:48">
      <c r="T1975" s="79"/>
      <c r="U1975" s="79"/>
      <c r="AT1975" t="s">
        <v>1201</v>
      </c>
      <c r="AU1975" s="93">
        <v>1958</v>
      </c>
      <c r="AV1975" t="s">
        <v>117</v>
      </c>
    </row>
    <row r="1976" spans="20:48">
      <c r="T1976" s="79"/>
      <c r="U1976" s="79"/>
      <c r="AT1976" t="s">
        <v>1202</v>
      </c>
      <c r="AU1976" s="93">
        <v>1959</v>
      </c>
      <c r="AV1976" t="s">
        <v>147</v>
      </c>
    </row>
    <row r="1977" spans="20:48">
      <c r="T1977" s="79"/>
      <c r="U1977" s="79"/>
      <c r="AT1977" t="s">
        <v>1203</v>
      </c>
      <c r="AU1977" s="93">
        <v>1960</v>
      </c>
      <c r="AV1977" t="s">
        <v>147</v>
      </c>
    </row>
    <row r="1978" spans="20:48">
      <c r="T1978" s="79"/>
      <c r="U1978" s="79"/>
      <c r="AT1978" t="s">
        <v>1204</v>
      </c>
      <c r="AU1978" s="93">
        <v>1961</v>
      </c>
      <c r="AV1978" t="s">
        <v>123</v>
      </c>
    </row>
    <row r="1979" spans="20:48">
      <c r="T1979" s="79"/>
      <c r="U1979" s="79"/>
      <c r="AT1979" t="s">
        <v>1205</v>
      </c>
      <c r="AU1979" s="93">
        <v>1962</v>
      </c>
      <c r="AV1979" t="s">
        <v>123</v>
      </c>
    </row>
    <row r="1980" spans="20:48">
      <c r="T1980" s="79"/>
      <c r="U1980" s="79"/>
      <c r="AT1980" t="s">
        <v>1206</v>
      </c>
      <c r="AU1980" s="93">
        <v>1963</v>
      </c>
      <c r="AV1980" t="s">
        <v>145</v>
      </c>
    </row>
    <row r="1981" spans="20:48">
      <c r="T1981" s="79"/>
      <c r="U1981" s="79"/>
      <c r="AT1981" t="s">
        <v>1207</v>
      </c>
      <c r="AU1981" s="93">
        <v>1964</v>
      </c>
      <c r="AV1981" t="s">
        <v>145</v>
      </c>
    </row>
    <row r="1982" spans="20:48">
      <c r="T1982" s="79"/>
      <c r="U1982" s="79"/>
      <c r="AT1982" t="s">
        <v>1208</v>
      </c>
      <c r="AU1982" s="93">
        <v>1965</v>
      </c>
      <c r="AV1982" t="s">
        <v>145</v>
      </c>
    </row>
    <row r="1983" spans="20:48">
      <c r="T1983" s="79"/>
      <c r="U1983" s="79"/>
      <c r="AT1983" t="s">
        <v>1209</v>
      </c>
      <c r="AU1983" s="93">
        <v>1966</v>
      </c>
      <c r="AV1983" t="s">
        <v>140</v>
      </c>
    </row>
    <row r="1984" spans="20:48">
      <c r="T1984" s="79"/>
      <c r="U1984" s="79"/>
      <c r="AT1984" t="s">
        <v>1210</v>
      </c>
      <c r="AU1984" s="93">
        <v>1967</v>
      </c>
      <c r="AV1984" t="s">
        <v>140</v>
      </c>
    </row>
    <row r="1985" spans="20:48">
      <c r="T1985" s="79"/>
      <c r="U1985" s="79"/>
      <c r="AT1985" t="s">
        <v>1211</v>
      </c>
      <c r="AU1985" s="93">
        <v>1968</v>
      </c>
      <c r="AV1985" t="s">
        <v>117</v>
      </c>
    </row>
    <row r="1986" spans="20:48">
      <c r="T1986" s="79"/>
      <c r="U1986" s="79"/>
      <c r="AT1986" t="s">
        <v>1212</v>
      </c>
      <c r="AU1986" s="93">
        <v>1969</v>
      </c>
      <c r="AV1986" t="s">
        <v>117</v>
      </c>
    </row>
    <row r="1987" spans="20:48">
      <c r="T1987" s="79"/>
      <c r="U1987" s="79"/>
      <c r="AT1987" t="s">
        <v>1213</v>
      </c>
      <c r="AU1987" s="93">
        <v>1970</v>
      </c>
      <c r="AV1987" t="s">
        <v>115</v>
      </c>
    </row>
    <row r="1988" spans="20:48">
      <c r="T1988" s="79"/>
      <c r="U1988" s="79"/>
      <c r="AT1988" t="s">
        <v>1214</v>
      </c>
      <c r="AU1988" s="93">
        <v>1971</v>
      </c>
      <c r="AV1988" t="s">
        <v>115</v>
      </c>
    </row>
    <row r="1989" spans="20:48">
      <c r="T1989" s="79"/>
      <c r="U1989" s="79"/>
      <c r="AT1989" t="s">
        <v>1215</v>
      </c>
      <c r="AU1989" s="93">
        <v>1972</v>
      </c>
      <c r="AV1989" t="s">
        <v>139</v>
      </c>
    </row>
    <row r="1990" spans="20:48">
      <c r="T1990" s="79"/>
      <c r="U1990" s="79"/>
      <c r="AT1990" t="s">
        <v>1216</v>
      </c>
      <c r="AU1990" s="93">
        <v>1973</v>
      </c>
      <c r="AV1990" t="s">
        <v>114</v>
      </c>
    </row>
    <row r="1991" spans="20:48">
      <c r="T1991" s="79"/>
      <c r="U1991" s="79"/>
      <c r="AT1991" t="s">
        <v>1217</v>
      </c>
      <c r="AU1991" s="93">
        <v>1974</v>
      </c>
      <c r="AV1991" t="s">
        <v>114</v>
      </c>
    </row>
    <row r="1992" spans="20:48">
      <c r="T1992" s="79"/>
      <c r="U1992" s="79"/>
      <c r="AT1992" t="s">
        <v>1218</v>
      </c>
      <c r="AU1992" s="93">
        <v>1975</v>
      </c>
      <c r="AV1992" t="s">
        <v>114</v>
      </c>
    </row>
    <row r="1993" spans="20:48">
      <c r="T1993" s="79"/>
      <c r="U1993" s="79"/>
      <c r="AT1993" t="s">
        <v>1219</v>
      </c>
      <c r="AU1993" s="93">
        <v>1976</v>
      </c>
      <c r="AV1993" t="s">
        <v>129</v>
      </c>
    </row>
    <row r="1994" spans="20:48">
      <c r="T1994" s="79"/>
      <c r="U1994" s="79"/>
      <c r="AT1994" t="s">
        <v>1220</v>
      </c>
      <c r="AU1994" s="93">
        <v>1977</v>
      </c>
      <c r="AV1994" t="s">
        <v>147</v>
      </c>
    </row>
    <row r="1995" spans="20:48">
      <c r="T1995" s="79"/>
      <c r="U1995" s="79"/>
      <c r="AT1995" t="s">
        <v>1221</v>
      </c>
      <c r="AU1995" s="93">
        <v>1978</v>
      </c>
      <c r="AV1995" t="s">
        <v>1222</v>
      </c>
    </row>
    <row r="1996" spans="20:48">
      <c r="T1996" s="79"/>
      <c r="U1996" s="79"/>
      <c r="AT1996" t="s">
        <v>1223</v>
      </c>
      <c r="AU1996" s="93">
        <v>1979</v>
      </c>
      <c r="AV1996" t="s">
        <v>111</v>
      </c>
    </row>
    <row r="1997" spans="20:48">
      <c r="T1997" s="79"/>
      <c r="U1997" s="79"/>
      <c r="AT1997" t="s">
        <v>1224</v>
      </c>
      <c r="AU1997" s="93">
        <v>1980</v>
      </c>
      <c r="AV1997" t="s">
        <v>123</v>
      </c>
    </row>
    <row r="1998" spans="20:48">
      <c r="T1998" s="79"/>
      <c r="U1998" s="79"/>
      <c r="AT1998" t="s">
        <v>1225</v>
      </c>
      <c r="AU1998" s="93">
        <v>1981</v>
      </c>
      <c r="AV1998" t="s">
        <v>115</v>
      </c>
    </row>
    <row r="1999" spans="20:48">
      <c r="T1999" s="79"/>
      <c r="U1999" s="79"/>
      <c r="AT1999" t="s">
        <v>1226</v>
      </c>
      <c r="AU1999" s="93">
        <v>1982</v>
      </c>
      <c r="AV1999" t="s">
        <v>118</v>
      </c>
    </row>
    <row r="2000" spans="20:48">
      <c r="T2000" s="79"/>
      <c r="U2000" s="79"/>
      <c r="AT2000" t="s">
        <v>1227</v>
      </c>
      <c r="AU2000" s="93">
        <v>1983</v>
      </c>
      <c r="AV2000" t="s">
        <v>123</v>
      </c>
    </row>
    <row r="2001" spans="20:48">
      <c r="T2001" s="79"/>
      <c r="U2001" s="79"/>
      <c r="AT2001" t="s">
        <v>1228</v>
      </c>
      <c r="AU2001" s="93">
        <v>1984</v>
      </c>
      <c r="AV2001" t="s">
        <v>123</v>
      </c>
    </row>
    <row r="2002" spans="20:48">
      <c r="T2002" s="79"/>
      <c r="U2002" s="79"/>
      <c r="AT2002" t="s">
        <v>1229</v>
      </c>
      <c r="AU2002" s="93">
        <v>1985</v>
      </c>
      <c r="AV2002" t="s">
        <v>123</v>
      </c>
    </row>
    <row r="2003" spans="20:48">
      <c r="T2003" s="79"/>
      <c r="U2003" s="79"/>
      <c r="AT2003" t="s">
        <v>1230</v>
      </c>
      <c r="AU2003" s="93">
        <v>1986</v>
      </c>
      <c r="AV2003" t="s">
        <v>121</v>
      </c>
    </row>
    <row r="2004" spans="20:48">
      <c r="T2004" s="79"/>
      <c r="U2004" s="79"/>
      <c r="AT2004" t="s">
        <v>1231</v>
      </c>
      <c r="AU2004" s="93">
        <v>1987</v>
      </c>
      <c r="AV2004" t="s">
        <v>123</v>
      </c>
    </row>
    <row r="2005" spans="20:48">
      <c r="T2005" s="79"/>
      <c r="U2005" s="79"/>
      <c r="AT2005" t="s">
        <v>1232</v>
      </c>
      <c r="AU2005" s="93">
        <v>1988</v>
      </c>
      <c r="AV2005" t="s">
        <v>123</v>
      </c>
    </row>
    <row r="2006" spans="20:48">
      <c r="T2006" s="79"/>
      <c r="U2006" s="79"/>
      <c r="AT2006" t="s">
        <v>1233</v>
      </c>
      <c r="AU2006" s="93">
        <v>1989</v>
      </c>
      <c r="AV2006" t="s">
        <v>123</v>
      </c>
    </row>
    <row r="2007" spans="20:48">
      <c r="T2007" s="79"/>
      <c r="U2007" s="79"/>
      <c r="AT2007" t="s">
        <v>1234</v>
      </c>
      <c r="AU2007" s="93">
        <v>1990</v>
      </c>
      <c r="AV2007" t="s">
        <v>140</v>
      </c>
    </row>
    <row r="2008" spans="20:48">
      <c r="T2008" s="79"/>
      <c r="U2008" s="79"/>
      <c r="AT2008" t="s">
        <v>1235</v>
      </c>
      <c r="AU2008" s="93">
        <v>1991</v>
      </c>
      <c r="AV2008" t="s">
        <v>145</v>
      </c>
    </row>
    <row r="2009" spans="20:48">
      <c r="T2009" s="79"/>
      <c r="U2009" s="79"/>
      <c r="AT2009" t="s">
        <v>1236</v>
      </c>
      <c r="AU2009" s="93">
        <v>1992</v>
      </c>
      <c r="AV2009" t="s">
        <v>145</v>
      </c>
    </row>
    <row r="2010" spans="20:48">
      <c r="T2010" s="79"/>
      <c r="U2010" s="79"/>
      <c r="AT2010" t="s">
        <v>1237</v>
      </c>
      <c r="AU2010" s="93">
        <v>1993</v>
      </c>
      <c r="AV2010" t="s">
        <v>145</v>
      </c>
    </row>
    <row r="2011" spans="20:48">
      <c r="T2011" s="79"/>
      <c r="U2011" s="79"/>
      <c r="AT2011" t="s">
        <v>1238</v>
      </c>
      <c r="AU2011" s="93">
        <v>1994</v>
      </c>
      <c r="AV2011" t="s">
        <v>145</v>
      </c>
    </row>
    <row r="2012" spans="20:48">
      <c r="T2012" s="79"/>
      <c r="U2012" s="79"/>
      <c r="AT2012" t="s">
        <v>1239</v>
      </c>
      <c r="AU2012" s="93">
        <v>1995</v>
      </c>
      <c r="AV2012" t="s">
        <v>1240</v>
      </c>
    </row>
    <row r="2013" spans="20:48">
      <c r="T2013" s="79"/>
      <c r="U2013" s="79"/>
      <c r="AT2013" t="s">
        <v>1241</v>
      </c>
      <c r="AU2013" s="93">
        <v>1996</v>
      </c>
      <c r="AV2013" t="s">
        <v>1242</v>
      </c>
    </row>
    <row r="2014" spans="20:48">
      <c r="T2014" s="79"/>
      <c r="U2014" s="79"/>
      <c r="AT2014" t="s">
        <v>1243</v>
      </c>
      <c r="AU2014" s="93">
        <v>1997</v>
      </c>
      <c r="AV2014" t="s">
        <v>151</v>
      </c>
    </row>
    <row r="2015" spans="20:48">
      <c r="T2015" s="79"/>
      <c r="U2015" s="79"/>
      <c r="AT2015" t="s">
        <v>1244</v>
      </c>
      <c r="AU2015" s="93">
        <v>1998</v>
      </c>
      <c r="AV2015" t="s">
        <v>151</v>
      </c>
    </row>
    <row r="2016" spans="20:48">
      <c r="T2016" s="79"/>
      <c r="U2016" s="79"/>
      <c r="AT2016" t="s">
        <v>1245</v>
      </c>
      <c r="AU2016" s="93">
        <v>1999</v>
      </c>
      <c r="AV2016" t="s">
        <v>151</v>
      </c>
    </row>
    <row r="2017" spans="20:48">
      <c r="T2017" s="79"/>
      <c r="U2017" s="79"/>
      <c r="AT2017" t="s">
        <v>1246</v>
      </c>
      <c r="AU2017" s="93">
        <v>2000</v>
      </c>
      <c r="AV2017" t="s">
        <v>123</v>
      </c>
    </row>
    <row r="2018" spans="20:48">
      <c r="T2018" s="79"/>
      <c r="U2018" s="79"/>
      <c r="AT2018" t="s">
        <v>1247</v>
      </c>
      <c r="AU2018" s="93">
        <v>2001</v>
      </c>
      <c r="AV2018" t="s">
        <v>123</v>
      </c>
    </row>
    <row r="2019" spans="20:48">
      <c r="T2019" s="79"/>
      <c r="U2019" s="79"/>
      <c r="AT2019" t="s">
        <v>1248</v>
      </c>
      <c r="AU2019" s="93">
        <v>2002</v>
      </c>
      <c r="AV2019" t="s">
        <v>138</v>
      </c>
    </row>
    <row r="2020" spans="20:48">
      <c r="T2020" s="79"/>
      <c r="U2020" s="79"/>
      <c r="AT2020" t="s">
        <v>1249</v>
      </c>
      <c r="AU2020" s="93">
        <v>2003</v>
      </c>
      <c r="AV2020" t="s">
        <v>123</v>
      </c>
    </row>
    <row r="2021" spans="20:48">
      <c r="T2021" s="79"/>
      <c r="U2021" s="79"/>
      <c r="AT2021" t="s">
        <v>1250</v>
      </c>
      <c r="AU2021" s="93">
        <v>2004</v>
      </c>
      <c r="AV2021" t="s">
        <v>139</v>
      </c>
    </row>
    <row r="2022" spans="20:48">
      <c r="T2022" s="79"/>
      <c r="U2022" s="79"/>
      <c r="AT2022" t="s">
        <v>1251</v>
      </c>
      <c r="AU2022" s="93">
        <v>2005</v>
      </c>
      <c r="AV2022" t="s">
        <v>115</v>
      </c>
    </row>
    <row r="2023" spans="20:48">
      <c r="T2023" s="79"/>
      <c r="U2023" s="79"/>
      <c r="AT2023" t="s">
        <v>1252</v>
      </c>
      <c r="AU2023" s="93">
        <v>2006</v>
      </c>
      <c r="AV2023" t="s">
        <v>115</v>
      </c>
    </row>
    <row r="2024" spans="20:48">
      <c r="T2024" s="79"/>
      <c r="U2024" s="79"/>
      <c r="AT2024" t="s">
        <v>1253</v>
      </c>
      <c r="AU2024" s="93">
        <v>2007</v>
      </c>
      <c r="AV2024" t="s">
        <v>115</v>
      </c>
    </row>
    <row r="2025" spans="20:48">
      <c r="T2025" s="79"/>
      <c r="U2025" s="79"/>
      <c r="AT2025" t="s">
        <v>1254</v>
      </c>
      <c r="AU2025" s="93">
        <v>2008</v>
      </c>
      <c r="AV2025" t="s">
        <v>123</v>
      </c>
    </row>
    <row r="2026" spans="20:48">
      <c r="T2026" s="79"/>
      <c r="U2026" s="79"/>
      <c r="AT2026" t="s">
        <v>1255</v>
      </c>
      <c r="AU2026" s="93">
        <v>2009</v>
      </c>
      <c r="AV2026" t="s">
        <v>123</v>
      </c>
    </row>
    <row r="2027" spans="20:48">
      <c r="T2027" s="79"/>
      <c r="U2027" s="79"/>
      <c r="AT2027" t="s">
        <v>1256</v>
      </c>
      <c r="AU2027" s="93">
        <v>2010</v>
      </c>
      <c r="AV2027" t="s">
        <v>145</v>
      </c>
    </row>
    <row r="2028" spans="20:48">
      <c r="T2028" s="79"/>
      <c r="U2028" s="79"/>
      <c r="AT2028" t="s">
        <v>1257</v>
      </c>
      <c r="AU2028" s="93">
        <v>2011</v>
      </c>
      <c r="AV2028" t="s">
        <v>117</v>
      </c>
    </row>
    <row r="2029" spans="20:48">
      <c r="T2029" s="79"/>
      <c r="U2029" s="79"/>
      <c r="AT2029" t="s">
        <v>1258</v>
      </c>
      <c r="AU2029" s="93">
        <v>2012</v>
      </c>
      <c r="AV2029" t="s">
        <v>145</v>
      </c>
    </row>
    <row r="2030" spans="20:48">
      <c r="T2030" s="79"/>
      <c r="U2030" s="79"/>
      <c r="AT2030" t="s">
        <v>1259</v>
      </c>
      <c r="AU2030" s="93">
        <v>2013</v>
      </c>
      <c r="AV2030" t="s">
        <v>111</v>
      </c>
    </row>
    <row r="2031" spans="20:48">
      <c r="T2031" s="79"/>
      <c r="U2031" s="79"/>
      <c r="AT2031" t="s">
        <v>1260</v>
      </c>
      <c r="AU2031" s="93">
        <v>2014</v>
      </c>
      <c r="AV2031" t="s">
        <v>123</v>
      </c>
    </row>
    <row r="2032" spans="20:48">
      <c r="T2032" s="79"/>
      <c r="U2032" s="79"/>
      <c r="AT2032" t="s">
        <v>1261</v>
      </c>
      <c r="AU2032" s="93">
        <v>2015</v>
      </c>
      <c r="AV2032" t="s">
        <v>151</v>
      </c>
    </row>
    <row r="2033" spans="20:48">
      <c r="T2033" s="79"/>
      <c r="U2033" s="79"/>
      <c r="AT2033" t="s">
        <v>1262</v>
      </c>
      <c r="AU2033" s="93">
        <v>2016</v>
      </c>
      <c r="AV2033" t="s">
        <v>111</v>
      </c>
    </row>
    <row r="2034" spans="20:48">
      <c r="T2034" s="79"/>
      <c r="U2034" s="79"/>
      <c r="AT2034" t="s">
        <v>1263</v>
      </c>
      <c r="AU2034" s="93">
        <v>2017</v>
      </c>
      <c r="AV2034" t="s">
        <v>121</v>
      </c>
    </row>
    <row r="2035" spans="20:48">
      <c r="T2035" s="79"/>
      <c r="U2035" s="79"/>
      <c r="AT2035" t="s">
        <v>1264</v>
      </c>
      <c r="AU2035" s="93">
        <v>2018</v>
      </c>
      <c r="AV2035" t="s">
        <v>121</v>
      </c>
    </row>
    <row r="2036" spans="20:48">
      <c r="T2036" s="79"/>
      <c r="U2036" s="79"/>
      <c r="AT2036" t="s">
        <v>1265</v>
      </c>
      <c r="AU2036" s="93">
        <v>2019</v>
      </c>
      <c r="AV2036" t="s">
        <v>111</v>
      </c>
    </row>
    <row r="2037" spans="20:48">
      <c r="T2037" s="79"/>
      <c r="U2037" s="79"/>
      <c r="AT2037" t="s">
        <v>1266</v>
      </c>
      <c r="AU2037" s="93">
        <v>2020</v>
      </c>
      <c r="AV2037" t="s">
        <v>147</v>
      </c>
    </row>
    <row r="2038" spans="20:48">
      <c r="T2038" s="79"/>
      <c r="U2038" s="79"/>
      <c r="AT2038" t="s">
        <v>1267</v>
      </c>
      <c r="AU2038" s="93">
        <v>2021</v>
      </c>
      <c r="AV2038" t="s">
        <v>220</v>
      </c>
    </row>
    <row r="2039" spans="20:48">
      <c r="T2039" s="79"/>
      <c r="U2039" s="79"/>
      <c r="AT2039" t="s">
        <v>1268</v>
      </c>
      <c r="AU2039" s="93">
        <v>2022</v>
      </c>
      <c r="AV2039" t="s">
        <v>762</v>
      </c>
    </row>
    <row r="2040" spans="20:48">
      <c r="T2040" s="79"/>
      <c r="U2040" s="79"/>
      <c r="AT2040" t="s">
        <v>1269</v>
      </c>
      <c r="AU2040" s="93">
        <v>2023</v>
      </c>
      <c r="AV2040" t="s">
        <v>115</v>
      </c>
    </row>
    <row r="2041" spans="20:48">
      <c r="T2041" s="79"/>
      <c r="U2041" s="79"/>
      <c r="AT2041" t="s">
        <v>1270</v>
      </c>
      <c r="AU2041" s="93">
        <v>2024</v>
      </c>
      <c r="AV2041" t="s">
        <v>120</v>
      </c>
    </row>
    <row r="2042" spans="20:48">
      <c r="T2042" s="79"/>
      <c r="U2042" s="79"/>
      <c r="AT2042" t="s">
        <v>1271</v>
      </c>
      <c r="AU2042" s="93">
        <v>2025</v>
      </c>
      <c r="AV2042" t="s">
        <v>115</v>
      </c>
    </row>
    <row r="2043" spans="20:48">
      <c r="T2043" s="79"/>
      <c r="U2043" s="79"/>
      <c r="AT2043" t="s">
        <v>1272</v>
      </c>
      <c r="AU2043" s="93">
        <v>2026</v>
      </c>
      <c r="AV2043" t="s">
        <v>115</v>
      </c>
    </row>
    <row r="2044" spans="20:48">
      <c r="T2044" s="79"/>
      <c r="U2044" s="79"/>
      <c r="AT2044" t="s">
        <v>1273</v>
      </c>
      <c r="AU2044" s="93">
        <v>2027</v>
      </c>
      <c r="AV2044" t="s">
        <v>115</v>
      </c>
    </row>
    <row r="2045" spans="20:48">
      <c r="T2045" s="79"/>
      <c r="U2045" s="79"/>
      <c r="AT2045" t="s">
        <v>1274</v>
      </c>
      <c r="AU2045" s="93">
        <v>2028</v>
      </c>
      <c r="AV2045" t="s">
        <v>119</v>
      </c>
    </row>
    <row r="2046" spans="20:48">
      <c r="T2046" s="79"/>
      <c r="U2046" s="79"/>
      <c r="AT2046" t="s">
        <v>1275</v>
      </c>
      <c r="AU2046" s="93">
        <v>2029</v>
      </c>
      <c r="AV2046" t="s">
        <v>111</v>
      </c>
    </row>
    <row r="2047" spans="20:48">
      <c r="T2047" s="79"/>
      <c r="U2047" s="79"/>
      <c r="AT2047" t="s">
        <v>1276</v>
      </c>
      <c r="AU2047" s="93">
        <v>2030</v>
      </c>
      <c r="AV2047" t="s">
        <v>120</v>
      </c>
    </row>
    <row r="2048" spans="20:48">
      <c r="T2048" s="79"/>
      <c r="U2048" s="79"/>
      <c r="AT2048" t="s">
        <v>1277</v>
      </c>
      <c r="AU2048" s="93">
        <v>2031</v>
      </c>
      <c r="AV2048" t="s">
        <v>111</v>
      </c>
    </row>
    <row r="2049" spans="20:48">
      <c r="T2049" s="79"/>
      <c r="U2049" s="79"/>
      <c r="AT2049" t="s">
        <v>1278</v>
      </c>
      <c r="AU2049" s="93">
        <v>2032</v>
      </c>
      <c r="AV2049" t="s">
        <v>114</v>
      </c>
    </row>
    <row r="2050" spans="20:48">
      <c r="T2050" s="79"/>
      <c r="U2050" s="79"/>
      <c r="AT2050" t="s">
        <v>1279</v>
      </c>
      <c r="AU2050" s="93">
        <v>2033</v>
      </c>
      <c r="AV2050" t="s">
        <v>156</v>
      </c>
    </row>
    <row r="2051" spans="20:48">
      <c r="T2051" s="79"/>
      <c r="U2051" s="79"/>
      <c r="AT2051" t="s">
        <v>1280</v>
      </c>
      <c r="AU2051" s="93">
        <v>2034</v>
      </c>
      <c r="AV2051" t="s">
        <v>150</v>
      </c>
    </row>
    <row r="2052" spans="20:48">
      <c r="T2052" s="79"/>
      <c r="U2052" s="79"/>
      <c r="AT2052" t="s">
        <v>1281</v>
      </c>
      <c r="AU2052" s="93">
        <v>2035</v>
      </c>
      <c r="AV2052" t="s">
        <v>115</v>
      </c>
    </row>
    <row r="2053" spans="20:48">
      <c r="T2053" s="79"/>
      <c r="U2053" s="79"/>
      <c r="AT2053" t="s">
        <v>1282</v>
      </c>
      <c r="AU2053" s="93">
        <v>2036</v>
      </c>
      <c r="AV2053" t="s">
        <v>115</v>
      </c>
    </row>
    <row r="2054" spans="20:48">
      <c r="T2054" s="79"/>
      <c r="U2054" s="79"/>
      <c r="AT2054" t="s">
        <v>1283</v>
      </c>
      <c r="AU2054" s="93">
        <v>2037</v>
      </c>
      <c r="AV2054" t="s">
        <v>141</v>
      </c>
    </row>
    <row r="2055" spans="20:48">
      <c r="T2055" s="79"/>
      <c r="U2055" s="79"/>
      <c r="AT2055" t="s">
        <v>1284</v>
      </c>
      <c r="AU2055" s="93">
        <v>2038</v>
      </c>
      <c r="AV2055" t="s">
        <v>141</v>
      </c>
    </row>
    <row r="2056" spans="20:48">
      <c r="T2056" s="79"/>
      <c r="U2056" s="79"/>
      <c r="AT2056" t="s">
        <v>1285</v>
      </c>
      <c r="AU2056" s="93">
        <v>2039</v>
      </c>
      <c r="AV2056" t="s">
        <v>141</v>
      </c>
    </row>
    <row r="2057" spans="20:48">
      <c r="T2057" s="79"/>
      <c r="U2057" s="79"/>
      <c r="AT2057" t="s">
        <v>1286</v>
      </c>
      <c r="AU2057" s="93">
        <v>2040</v>
      </c>
      <c r="AV2057" t="s">
        <v>156</v>
      </c>
    </row>
    <row r="2058" spans="20:48">
      <c r="T2058" s="79"/>
      <c r="U2058" s="79"/>
      <c r="AT2058" t="s">
        <v>1287</v>
      </c>
      <c r="AU2058" s="93">
        <v>2041</v>
      </c>
      <c r="AV2058" t="s">
        <v>156</v>
      </c>
    </row>
    <row r="2059" spans="20:48">
      <c r="T2059" s="79"/>
      <c r="U2059" s="79"/>
      <c r="AT2059" t="s">
        <v>1288</v>
      </c>
      <c r="AU2059" s="93">
        <v>2042</v>
      </c>
      <c r="AV2059" t="s">
        <v>156</v>
      </c>
    </row>
    <row r="2060" spans="20:48">
      <c r="T2060" s="79"/>
      <c r="U2060" s="79"/>
      <c r="AT2060" t="s">
        <v>1289</v>
      </c>
      <c r="AU2060" s="93">
        <v>2043</v>
      </c>
      <c r="AV2060" t="s">
        <v>156</v>
      </c>
    </row>
    <row r="2061" spans="20:48">
      <c r="T2061" s="79"/>
      <c r="U2061" s="79"/>
      <c r="AT2061" t="s">
        <v>1290</v>
      </c>
      <c r="AU2061" s="93">
        <v>2044</v>
      </c>
      <c r="AV2061" t="s">
        <v>141</v>
      </c>
    </row>
    <row r="2062" spans="20:48">
      <c r="T2062" s="79"/>
      <c r="U2062" s="79"/>
      <c r="AT2062" t="s">
        <v>1291</v>
      </c>
      <c r="AU2062" s="93">
        <v>2045</v>
      </c>
      <c r="AV2062" t="s">
        <v>141</v>
      </c>
    </row>
    <row r="2063" spans="20:48">
      <c r="T2063" s="79"/>
      <c r="U2063" s="79"/>
      <c r="AT2063" t="s">
        <v>1292</v>
      </c>
      <c r="AU2063" s="93">
        <v>2046</v>
      </c>
      <c r="AV2063" t="s">
        <v>141</v>
      </c>
    </row>
    <row r="2064" spans="20:48">
      <c r="T2064" s="79"/>
      <c r="U2064" s="79"/>
      <c r="AT2064" t="s">
        <v>1293</v>
      </c>
      <c r="AU2064" s="93">
        <v>2047</v>
      </c>
      <c r="AV2064" t="s">
        <v>152</v>
      </c>
    </row>
    <row r="2065" spans="20:48">
      <c r="T2065" s="79"/>
      <c r="U2065" s="79"/>
      <c r="AT2065" t="s">
        <v>1294</v>
      </c>
      <c r="AU2065" s="93">
        <v>2048</v>
      </c>
      <c r="AV2065" t="s">
        <v>115</v>
      </c>
    </row>
    <row r="2066" spans="20:48">
      <c r="T2066" s="79"/>
      <c r="U2066" s="79"/>
      <c r="AT2066" t="s">
        <v>1295</v>
      </c>
      <c r="AU2066" s="93">
        <v>2049</v>
      </c>
      <c r="AV2066" t="s">
        <v>140</v>
      </c>
    </row>
    <row r="2067" spans="20:48">
      <c r="T2067" s="79"/>
      <c r="U2067" s="79"/>
      <c r="AT2067" t="s">
        <v>1296</v>
      </c>
      <c r="AU2067" s="93">
        <v>2050</v>
      </c>
      <c r="AV2067" t="s">
        <v>140</v>
      </c>
    </row>
    <row r="2068" spans="20:48">
      <c r="T2068" s="79"/>
      <c r="U2068" s="79"/>
      <c r="AT2068" t="s">
        <v>1297</v>
      </c>
      <c r="AU2068" s="93">
        <v>2051</v>
      </c>
      <c r="AV2068" t="s">
        <v>123</v>
      </c>
    </row>
    <row r="2069" spans="20:48">
      <c r="T2069" s="79"/>
      <c r="U2069" s="79"/>
      <c r="AT2069" t="s">
        <v>1298</v>
      </c>
      <c r="AU2069" s="93">
        <v>2052</v>
      </c>
      <c r="AV2069" t="s">
        <v>1299</v>
      </c>
    </row>
    <row r="2070" spans="20:48">
      <c r="T2070" s="79"/>
      <c r="U2070" s="79"/>
      <c r="AT2070" t="s">
        <v>1300</v>
      </c>
      <c r="AU2070" s="93">
        <v>2053</v>
      </c>
      <c r="AV2070" t="s">
        <v>1299</v>
      </c>
    </row>
    <row r="2071" spans="20:48">
      <c r="T2071" s="79"/>
      <c r="U2071" s="79"/>
      <c r="AT2071" t="s">
        <v>1301</v>
      </c>
      <c r="AU2071" s="93">
        <v>2054</v>
      </c>
      <c r="AV2071" t="s">
        <v>1302</v>
      </c>
    </row>
    <row r="2072" spans="20:48">
      <c r="T2072" s="79"/>
      <c r="U2072" s="79"/>
      <c r="AT2072" t="s">
        <v>1303</v>
      </c>
      <c r="AU2072" s="93">
        <v>2055</v>
      </c>
      <c r="AV2072" t="s">
        <v>150</v>
      </c>
    </row>
    <row r="2073" spans="20:48">
      <c r="T2073" s="79"/>
      <c r="U2073" s="79"/>
      <c r="AT2073" t="s">
        <v>1304</v>
      </c>
      <c r="AU2073" s="93">
        <v>2056</v>
      </c>
      <c r="AV2073" t="s">
        <v>147</v>
      </c>
    </row>
    <row r="2074" spans="20:48">
      <c r="T2074" s="79"/>
      <c r="U2074" s="79"/>
      <c r="AT2074" t="s">
        <v>1305</v>
      </c>
      <c r="AU2074" s="93">
        <v>2057</v>
      </c>
      <c r="AV2074" t="s">
        <v>147</v>
      </c>
    </row>
    <row r="2075" spans="20:48">
      <c r="T2075" s="79"/>
      <c r="U2075" s="79"/>
      <c r="AT2075" t="s">
        <v>1306</v>
      </c>
      <c r="AU2075" s="93">
        <v>2058</v>
      </c>
      <c r="AV2075" t="s">
        <v>123</v>
      </c>
    </row>
    <row r="2076" spans="20:48">
      <c r="T2076" s="79"/>
      <c r="U2076" s="79"/>
      <c r="AT2076" t="s">
        <v>1307</v>
      </c>
      <c r="AU2076" s="93">
        <v>2059</v>
      </c>
      <c r="AV2076" t="s">
        <v>123</v>
      </c>
    </row>
    <row r="2077" spans="20:48">
      <c r="T2077" s="79"/>
      <c r="U2077" s="79"/>
      <c r="AT2077" t="s">
        <v>1308</v>
      </c>
      <c r="AU2077" s="93">
        <v>2060</v>
      </c>
      <c r="AV2077" t="s">
        <v>123</v>
      </c>
    </row>
    <row r="2078" spans="20:48">
      <c r="T2078" s="79"/>
      <c r="U2078" s="79"/>
      <c r="AT2078" t="s">
        <v>1309</v>
      </c>
      <c r="AU2078" s="93">
        <v>2061</v>
      </c>
      <c r="AV2078" t="s">
        <v>119</v>
      </c>
    </row>
    <row r="2079" spans="20:48">
      <c r="T2079" s="79"/>
      <c r="U2079" s="79"/>
      <c r="AT2079" t="s">
        <v>1310</v>
      </c>
      <c r="AU2079" s="93">
        <v>2062</v>
      </c>
      <c r="AV2079" t="s">
        <v>123</v>
      </c>
    </row>
    <row r="2080" spans="20:48">
      <c r="T2080" s="79"/>
      <c r="U2080" s="79"/>
      <c r="AT2080" t="s">
        <v>1311</v>
      </c>
      <c r="AU2080" s="93">
        <v>2063</v>
      </c>
      <c r="AV2080" t="s">
        <v>123</v>
      </c>
    </row>
    <row r="2081" spans="20:48">
      <c r="T2081" s="79"/>
      <c r="U2081" s="79"/>
      <c r="AT2081" t="s">
        <v>1312</v>
      </c>
      <c r="AU2081" s="93">
        <v>2064</v>
      </c>
      <c r="AV2081" t="s">
        <v>111</v>
      </c>
    </row>
    <row r="2082" spans="20:48">
      <c r="T2082" s="79"/>
      <c r="U2082" s="79"/>
      <c r="AT2082" t="s">
        <v>1313</v>
      </c>
      <c r="AU2082" s="93">
        <v>2065</v>
      </c>
      <c r="AV2082" t="s">
        <v>114</v>
      </c>
    </row>
    <row r="2083" spans="20:48">
      <c r="T2083" s="79"/>
      <c r="U2083" s="79"/>
      <c r="AT2083" t="s">
        <v>1314</v>
      </c>
      <c r="AU2083" s="93">
        <v>2066</v>
      </c>
      <c r="AV2083" t="s">
        <v>113</v>
      </c>
    </row>
    <row r="2084" spans="20:48">
      <c r="T2084" s="79"/>
      <c r="U2084" s="79"/>
      <c r="AT2084" t="s">
        <v>1315</v>
      </c>
      <c r="AU2084" s="93">
        <v>2067</v>
      </c>
      <c r="AV2084" t="s">
        <v>113</v>
      </c>
    </row>
    <row r="2085" spans="20:48">
      <c r="T2085" s="79"/>
      <c r="U2085" s="79"/>
      <c r="AT2085" t="s">
        <v>1316</v>
      </c>
      <c r="AU2085" s="93">
        <v>2068</v>
      </c>
      <c r="AV2085" t="s">
        <v>123</v>
      </c>
    </row>
    <row r="2086" spans="20:48">
      <c r="T2086" s="79"/>
      <c r="U2086" s="79"/>
      <c r="AT2086" t="s">
        <v>1317</v>
      </c>
      <c r="AU2086" s="93">
        <v>2069</v>
      </c>
      <c r="AV2086" t="s">
        <v>117</v>
      </c>
    </row>
    <row r="2087" spans="20:48">
      <c r="T2087" s="79"/>
      <c r="U2087" s="79"/>
      <c r="AT2087" t="s">
        <v>1318</v>
      </c>
      <c r="AU2087" s="93">
        <v>2070</v>
      </c>
      <c r="AV2087" t="s">
        <v>117</v>
      </c>
    </row>
    <row r="2088" spans="20:48">
      <c r="T2088" s="79"/>
      <c r="U2088" s="79"/>
      <c r="AT2088" t="s">
        <v>1319</v>
      </c>
      <c r="AU2088" s="93">
        <v>2071</v>
      </c>
      <c r="AV2088" t="s">
        <v>111</v>
      </c>
    </row>
    <row r="2089" spans="20:48">
      <c r="T2089" s="79"/>
      <c r="U2089" s="79"/>
      <c r="AT2089" t="s">
        <v>1320</v>
      </c>
      <c r="AU2089" s="93">
        <v>2072</v>
      </c>
      <c r="AV2089" t="s">
        <v>117</v>
      </c>
    </row>
    <row r="2090" spans="20:48">
      <c r="T2090" s="79"/>
      <c r="U2090" s="79"/>
      <c r="AT2090" t="s">
        <v>1321</v>
      </c>
      <c r="AU2090" s="93">
        <v>2073</v>
      </c>
      <c r="AV2090" t="s">
        <v>117</v>
      </c>
    </row>
    <row r="2091" spans="20:48">
      <c r="T2091" s="79"/>
      <c r="U2091" s="79"/>
      <c r="AT2091" t="s">
        <v>1322</v>
      </c>
      <c r="AU2091" s="93">
        <v>2074</v>
      </c>
      <c r="AV2091" t="s">
        <v>135</v>
      </c>
    </row>
    <row r="2092" spans="20:48">
      <c r="T2092" s="79"/>
      <c r="U2092" s="79"/>
      <c r="AT2092" t="s">
        <v>1323</v>
      </c>
      <c r="AU2092" s="93">
        <v>2075</v>
      </c>
      <c r="AV2092" t="s">
        <v>117</v>
      </c>
    </row>
    <row r="2093" spans="20:48">
      <c r="T2093" s="79"/>
      <c r="U2093" s="79"/>
      <c r="AT2093" t="s">
        <v>1324</v>
      </c>
      <c r="AU2093" s="93">
        <v>2076</v>
      </c>
      <c r="AV2093" t="s">
        <v>117</v>
      </c>
    </row>
    <row r="2094" spans="20:48">
      <c r="T2094" s="79"/>
      <c r="U2094" s="79"/>
      <c r="AT2094" t="s">
        <v>1325</v>
      </c>
      <c r="AU2094" s="93">
        <v>2077</v>
      </c>
      <c r="AV2094" t="s">
        <v>117</v>
      </c>
    </row>
    <row r="2095" spans="20:48">
      <c r="T2095" s="79"/>
      <c r="U2095" s="79"/>
      <c r="AT2095" t="s">
        <v>1326</v>
      </c>
      <c r="AU2095" s="93">
        <v>2078</v>
      </c>
      <c r="AV2095" t="s">
        <v>611</v>
      </c>
    </row>
    <row r="2096" spans="20:48">
      <c r="T2096" s="79"/>
      <c r="U2096" s="79"/>
      <c r="AT2096" t="s">
        <v>1327</v>
      </c>
      <c r="AU2096" s="93">
        <v>2079</v>
      </c>
      <c r="AV2096" t="s">
        <v>123</v>
      </c>
    </row>
    <row r="2097" spans="20:48">
      <c r="T2097" s="79"/>
      <c r="U2097" s="79"/>
      <c r="AT2097" t="s">
        <v>1328</v>
      </c>
      <c r="AU2097" s="93">
        <v>2080</v>
      </c>
      <c r="AV2097" t="s">
        <v>123</v>
      </c>
    </row>
    <row r="2098" spans="20:48">
      <c r="T2098" s="79"/>
      <c r="U2098" s="79"/>
      <c r="AT2098" t="s">
        <v>1329</v>
      </c>
      <c r="AU2098" s="93">
        <v>2081</v>
      </c>
      <c r="AV2098" t="s">
        <v>123</v>
      </c>
    </row>
    <row r="2099" spans="20:48">
      <c r="T2099" s="79"/>
      <c r="U2099" s="79"/>
      <c r="AT2099" t="s">
        <v>1330</v>
      </c>
      <c r="AU2099" s="93">
        <v>2082</v>
      </c>
      <c r="AV2099" t="s">
        <v>611</v>
      </c>
    </row>
    <row r="2100" spans="20:48">
      <c r="T2100" s="79"/>
      <c r="U2100" s="79"/>
      <c r="AT2100" t="s">
        <v>1331</v>
      </c>
      <c r="AU2100" s="93">
        <v>2083</v>
      </c>
      <c r="AV2100" t="s">
        <v>111</v>
      </c>
    </row>
    <row r="2101" spans="20:48">
      <c r="T2101" s="79"/>
      <c r="U2101" s="79"/>
      <c r="AT2101" t="s">
        <v>1332</v>
      </c>
      <c r="AU2101" s="93">
        <v>2084</v>
      </c>
      <c r="AV2101" t="s">
        <v>156</v>
      </c>
    </row>
    <row r="2102" spans="20:48">
      <c r="T2102" s="79"/>
      <c r="U2102" s="79"/>
      <c r="AT2102" t="s">
        <v>1333</v>
      </c>
      <c r="AU2102" s="93">
        <v>2085</v>
      </c>
      <c r="AV2102" t="s">
        <v>117</v>
      </c>
    </row>
    <row r="2103" spans="20:48">
      <c r="T2103" s="79"/>
      <c r="U2103" s="79"/>
      <c r="AT2103" t="s">
        <v>1334</v>
      </c>
      <c r="AU2103" s="93">
        <v>2086</v>
      </c>
      <c r="AV2103" t="s">
        <v>111</v>
      </c>
    </row>
    <row r="2104" spans="20:48">
      <c r="T2104" s="79"/>
      <c r="U2104" s="79"/>
      <c r="AT2104" t="s">
        <v>1335</v>
      </c>
      <c r="AU2104" s="93">
        <v>2087</v>
      </c>
      <c r="AV2104" t="s">
        <v>145</v>
      </c>
    </row>
    <row r="2105" spans="20:48">
      <c r="T2105" s="79"/>
      <c r="U2105" s="79"/>
      <c r="AT2105" t="s">
        <v>1336</v>
      </c>
      <c r="AU2105" s="93">
        <v>2088</v>
      </c>
      <c r="AV2105" t="s">
        <v>111</v>
      </c>
    </row>
    <row r="2106" spans="20:48">
      <c r="T2106" s="79"/>
      <c r="U2106" s="79"/>
      <c r="AT2106" t="s">
        <v>1337</v>
      </c>
      <c r="AU2106" s="93">
        <v>2089</v>
      </c>
      <c r="AV2106" t="s">
        <v>138</v>
      </c>
    </row>
    <row r="2107" spans="20:48">
      <c r="T2107" s="79"/>
      <c r="U2107" s="79"/>
      <c r="AT2107" t="s">
        <v>1338</v>
      </c>
      <c r="AU2107" s="93">
        <v>2090</v>
      </c>
      <c r="AV2107" t="s">
        <v>112</v>
      </c>
    </row>
    <row r="2108" spans="20:48">
      <c r="T2108" s="79"/>
      <c r="U2108" s="79"/>
      <c r="AT2108" t="s">
        <v>1339</v>
      </c>
      <c r="AU2108" s="93">
        <v>2091</v>
      </c>
      <c r="AV2108" t="s">
        <v>148</v>
      </c>
    </row>
    <row r="2109" spans="20:48">
      <c r="T2109" s="79"/>
      <c r="U2109" s="79"/>
      <c r="AT2109" t="s">
        <v>1340</v>
      </c>
      <c r="AU2109" s="93">
        <v>2092</v>
      </c>
      <c r="AV2109" t="s">
        <v>148</v>
      </c>
    </row>
    <row r="2110" spans="20:48">
      <c r="T2110" s="79"/>
      <c r="U2110" s="79"/>
      <c r="AT2110" t="s">
        <v>1341</v>
      </c>
      <c r="AU2110" s="93">
        <v>2093</v>
      </c>
      <c r="AV2110" t="s">
        <v>148</v>
      </c>
    </row>
    <row r="2111" spans="20:48">
      <c r="T2111" s="79"/>
      <c r="U2111" s="79"/>
      <c r="AT2111" t="s">
        <v>1342</v>
      </c>
      <c r="AU2111" s="93">
        <v>2094</v>
      </c>
      <c r="AV2111" t="s">
        <v>113</v>
      </c>
    </row>
    <row r="2112" spans="20:48">
      <c r="T2112" s="79"/>
      <c r="U2112" s="79"/>
      <c r="AT2112" t="s">
        <v>1343</v>
      </c>
      <c r="AU2112" s="93">
        <v>2095</v>
      </c>
      <c r="AV2112" t="s">
        <v>113</v>
      </c>
    </row>
    <row r="2113" spans="20:48">
      <c r="T2113" s="79"/>
      <c r="U2113" s="79"/>
      <c r="AT2113" t="s">
        <v>1344</v>
      </c>
      <c r="AU2113" s="93">
        <v>2096</v>
      </c>
      <c r="AV2113" t="s">
        <v>111</v>
      </c>
    </row>
    <row r="2114" spans="20:48">
      <c r="T2114" s="79"/>
      <c r="U2114" s="79"/>
      <c r="AT2114" t="s">
        <v>1345</v>
      </c>
      <c r="AU2114" s="93">
        <v>2097</v>
      </c>
      <c r="AV2114" t="s">
        <v>141</v>
      </c>
    </row>
    <row r="2115" spans="20:48">
      <c r="T2115" s="79"/>
      <c r="U2115" s="79"/>
      <c r="AT2115" t="s">
        <v>1346</v>
      </c>
      <c r="AU2115" s="93">
        <v>2098</v>
      </c>
      <c r="AV2115" t="s">
        <v>114</v>
      </c>
    </row>
    <row r="2116" spans="20:48">
      <c r="T2116" s="79"/>
      <c r="U2116" s="79"/>
      <c r="AT2116" t="s">
        <v>1347</v>
      </c>
      <c r="AU2116" s="93">
        <v>2099</v>
      </c>
      <c r="AV2116" t="s">
        <v>120</v>
      </c>
    </row>
    <row r="2117" spans="20:48">
      <c r="T2117" s="79"/>
      <c r="U2117" s="79"/>
      <c r="AT2117" t="s">
        <v>1348</v>
      </c>
      <c r="AU2117" s="93">
        <v>2100</v>
      </c>
      <c r="AV2117" t="s">
        <v>147</v>
      </c>
    </row>
    <row r="2118" spans="20:48">
      <c r="T2118" s="79"/>
      <c r="U2118" s="79"/>
      <c r="AT2118" t="s">
        <v>1349</v>
      </c>
      <c r="AU2118" s="93">
        <v>2101</v>
      </c>
      <c r="AV2118" t="s">
        <v>117</v>
      </c>
    </row>
    <row r="2119" spans="20:48">
      <c r="T2119" s="79"/>
      <c r="U2119" s="79"/>
      <c r="AT2119" t="s">
        <v>1350</v>
      </c>
      <c r="AU2119" s="93">
        <v>2102</v>
      </c>
      <c r="AV2119" t="s">
        <v>141</v>
      </c>
    </row>
    <row r="2120" spans="20:48">
      <c r="T2120" s="79"/>
      <c r="U2120" s="79"/>
      <c r="AT2120" t="s">
        <v>1351</v>
      </c>
      <c r="AU2120" s="93">
        <v>2103</v>
      </c>
      <c r="AV2120" t="s">
        <v>128</v>
      </c>
    </row>
    <row r="2121" spans="20:48">
      <c r="T2121" s="79"/>
      <c r="U2121" s="79"/>
      <c r="AT2121" t="s">
        <v>1352</v>
      </c>
      <c r="AU2121" s="93">
        <v>2104</v>
      </c>
      <c r="AV2121" t="s">
        <v>141</v>
      </c>
    </row>
    <row r="2122" spans="20:48">
      <c r="T2122" s="79"/>
      <c r="U2122" s="79"/>
      <c r="AT2122" t="s">
        <v>1353</v>
      </c>
      <c r="AU2122" s="93">
        <v>2105</v>
      </c>
      <c r="AV2122" t="s">
        <v>123</v>
      </c>
    </row>
    <row r="2123" spans="20:48">
      <c r="T2123" s="79"/>
      <c r="U2123" s="79"/>
      <c r="AT2123" t="s">
        <v>1354</v>
      </c>
      <c r="AU2123" s="93">
        <v>2106</v>
      </c>
      <c r="AV2123" t="s">
        <v>111</v>
      </c>
    </row>
    <row r="2124" spans="20:48">
      <c r="T2124" s="79"/>
      <c r="U2124" s="79"/>
      <c r="AT2124" t="s">
        <v>1355</v>
      </c>
      <c r="AU2124" s="93">
        <v>2107</v>
      </c>
      <c r="AV2124" t="s">
        <v>144</v>
      </c>
    </row>
    <row r="2125" spans="20:48">
      <c r="T2125" s="79"/>
      <c r="U2125" s="79"/>
      <c r="AT2125" t="s">
        <v>1356</v>
      </c>
      <c r="AU2125" s="93">
        <v>2108</v>
      </c>
      <c r="AV2125" t="s">
        <v>144</v>
      </c>
    </row>
    <row r="2126" spans="20:48">
      <c r="T2126" s="79"/>
      <c r="U2126" s="79"/>
      <c r="AT2126" t="s">
        <v>1357</v>
      </c>
      <c r="AU2126" s="93">
        <v>2109</v>
      </c>
      <c r="AV2126" t="s">
        <v>111</v>
      </c>
    </row>
    <row r="2127" spans="20:48">
      <c r="T2127" s="79"/>
      <c r="U2127" s="79"/>
      <c r="AT2127" t="s">
        <v>1358</v>
      </c>
      <c r="AU2127" s="93">
        <v>2110</v>
      </c>
      <c r="AV2127" t="s">
        <v>130</v>
      </c>
    </row>
    <row r="2128" spans="20:48">
      <c r="T2128" s="79"/>
      <c r="U2128" s="79"/>
      <c r="AT2128" t="s">
        <v>1359</v>
      </c>
      <c r="AU2128" s="93">
        <v>2111</v>
      </c>
      <c r="AV2128" t="s">
        <v>111</v>
      </c>
    </row>
    <row r="2129" spans="20:48">
      <c r="T2129" s="79"/>
      <c r="U2129" s="79"/>
      <c r="AT2129" t="s">
        <v>1360</v>
      </c>
      <c r="AU2129" s="93">
        <v>2112</v>
      </c>
      <c r="AV2129" t="s">
        <v>1361</v>
      </c>
    </row>
    <row r="2130" spans="20:48">
      <c r="T2130" s="79"/>
      <c r="U2130" s="79"/>
      <c r="AT2130" t="s">
        <v>1362</v>
      </c>
      <c r="AU2130" s="93">
        <v>2113</v>
      </c>
      <c r="AV2130" t="s">
        <v>142</v>
      </c>
    </row>
    <row r="2131" spans="20:48">
      <c r="T2131" s="79"/>
      <c r="U2131" s="79"/>
      <c r="AT2131" t="s">
        <v>1363</v>
      </c>
      <c r="AU2131" s="93">
        <v>2114</v>
      </c>
      <c r="AV2131" t="s">
        <v>136</v>
      </c>
    </row>
    <row r="2132" spans="20:48">
      <c r="T2132" s="79"/>
      <c r="U2132" s="79"/>
      <c r="AT2132" t="s">
        <v>1364</v>
      </c>
      <c r="AU2132" s="93">
        <v>2115</v>
      </c>
      <c r="AV2132" t="s">
        <v>136</v>
      </c>
    </row>
    <row r="2133" spans="20:48">
      <c r="T2133" s="79"/>
      <c r="U2133" s="79"/>
      <c r="AT2133" t="s">
        <v>1365</v>
      </c>
      <c r="AU2133" s="93">
        <v>2116</v>
      </c>
      <c r="AV2133" t="s">
        <v>130</v>
      </c>
    </row>
    <row r="2134" spans="20:48">
      <c r="T2134" s="79"/>
      <c r="U2134" s="79"/>
      <c r="AT2134" t="s">
        <v>1366</v>
      </c>
      <c r="AU2134" s="93">
        <v>2117</v>
      </c>
      <c r="AV2134" t="s">
        <v>114</v>
      </c>
    </row>
    <row r="2135" spans="20:48">
      <c r="T2135" s="79"/>
      <c r="U2135" s="79"/>
      <c r="AT2135" t="s">
        <v>1367</v>
      </c>
      <c r="AU2135" s="93">
        <v>2118</v>
      </c>
      <c r="AV2135" t="s">
        <v>115</v>
      </c>
    </row>
    <row r="2136" spans="20:48">
      <c r="T2136" s="79"/>
      <c r="U2136" s="79"/>
      <c r="AT2136" t="s">
        <v>1368</v>
      </c>
      <c r="AU2136" s="93">
        <v>2119</v>
      </c>
      <c r="AV2136" t="s">
        <v>156</v>
      </c>
    </row>
    <row r="2137" spans="20:48">
      <c r="T2137" s="79"/>
      <c r="U2137" s="79"/>
      <c r="AT2137" t="s">
        <v>1369</v>
      </c>
      <c r="AU2137" s="93">
        <v>2120</v>
      </c>
      <c r="AV2137" t="s">
        <v>115</v>
      </c>
    </row>
    <row r="2138" spans="20:48">
      <c r="T2138" s="79"/>
      <c r="U2138" s="79"/>
      <c r="AT2138" t="s">
        <v>1370</v>
      </c>
      <c r="AU2138" s="93">
        <v>2121</v>
      </c>
      <c r="AV2138" t="s">
        <v>147</v>
      </c>
    </row>
    <row r="2139" spans="20:48">
      <c r="T2139" s="79"/>
      <c r="U2139" s="79"/>
      <c r="AT2139" t="s">
        <v>1371</v>
      </c>
      <c r="AU2139" s="93">
        <v>2122</v>
      </c>
      <c r="AV2139" t="s">
        <v>123</v>
      </c>
    </row>
    <row r="2140" spans="20:48">
      <c r="T2140" s="79"/>
      <c r="U2140" s="79"/>
      <c r="AT2140" t="s">
        <v>1372</v>
      </c>
      <c r="AU2140" s="93">
        <v>2123</v>
      </c>
      <c r="AV2140" t="s">
        <v>111</v>
      </c>
    </row>
    <row r="2141" spans="20:48">
      <c r="T2141" s="79"/>
      <c r="U2141" s="79"/>
      <c r="AT2141" t="s">
        <v>1373</v>
      </c>
      <c r="AU2141" s="93">
        <v>2124</v>
      </c>
      <c r="AV2141" t="s">
        <v>123</v>
      </c>
    </row>
    <row r="2142" spans="20:48">
      <c r="T2142" s="79"/>
      <c r="U2142" s="79"/>
      <c r="AT2142" t="s">
        <v>1374</v>
      </c>
      <c r="AU2142" s="93">
        <v>2125</v>
      </c>
      <c r="AV2142" t="s">
        <v>147</v>
      </c>
    </row>
    <row r="2143" spans="20:48">
      <c r="T2143" s="79"/>
      <c r="U2143" s="79"/>
      <c r="AT2143" t="s">
        <v>1375</v>
      </c>
      <c r="AU2143" s="93">
        <v>2126</v>
      </c>
      <c r="AV2143" t="s">
        <v>121</v>
      </c>
    </row>
    <row r="2144" spans="20:48">
      <c r="T2144" s="79"/>
      <c r="U2144" s="79"/>
      <c r="AT2144" t="s">
        <v>1376</v>
      </c>
      <c r="AU2144" s="93">
        <v>2127</v>
      </c>
      <c r="AV2144" t="s">
        <v>129</v>
      </c>
    </row>
    <row r="2145" spans="20:48">
      <c r="T2145" s="79"/>
      <c r="U2145" s="79"/>
      <c r="AT2145" t="s">
        <v>1377</v>
      </c>
      <c r="AU2145" s="93">
        <v>2128</v>
      </c>
      <c r="AV2145" t="s">
        <v>111</v>
      </c>
    </row>
    <row r="2146" spans="20:48">
      <c r="T2146" s="79"/>
      <c r="U2146" s="79"/>
      <c r="AT2146" t="s">
        <v>1378</v>
      </c>
      <c r="AU2146" s="93">
        <v>2129</v>
      </c>
      <c r="AV2146" t="s">
        <v>134</v>
      </c>
    </row>
    <row r="2147" spans="20:48">
      <c r="T2147" s="79"/>
      <c r="U2147" s="79"/>
      <c r="AT2147" t="s">
        <v>1379</v>
      </c>
      <c r="AU2147" s="93">
        <v>2130</v>
      </c>
      <c r="AV2147" t="s">
        <v>133</v>
      </c>
    </row>
    <row r="2148" spans="20:48">
      <c r="T2148" s="79"/>
      <c r="U2148" s="79"/>
      <c r="AT2148" t="s">
        <v>1380</v>
      </c>
      <c r="AU2148" s="93">
        <v>2131</v>
      </c>
      <c r="AV2148" t="s">
        <v>140</v>
      </c>
    </row>
    <row r="2149" spans="20:48">
      <c r="T2149" s="79"/>
      <c r="U2149" s="79"/>
      <c r="AT2149" t="s">
        <v>1381</v>
      </c>
      <c r="AU2149" s="93">
        <v>2132</v>
      </c>
      <c r="AV2149" t="s">
        <v>136</v>
      </c>
    </row>
    <row r="2150" spans="20:48">
      <c r="T2150" s="79"/>
      <c r="U2150" s="79"/>
      <c r="AT2150" t="s">
        <v>1382</v>
      </c>
      <c r="AU2150" s="93">
        <v>2133</v>
      </c>
      <c r="AV2150" t="s">
        <v>111</v>
      </c>
    </row>
    <row r="2151" spans="20:48">
      <c r="T2151" s="79"/>
      <c r="U2151" s="79"/>
      <c r="AT2151" t="s">
        <v>1383</v>
      </c>
      <c r="AU2151" s="93">
        <v>2134</v>
      </c>
      <c r="AV2151" t="s">
        <v>117</v>
      </c>
    </row>
    <row r="2152" spans="20:48">
      <c r="T2152" s="79"/>
      <c r="U2152" s="79"/>
      <c r="AT2152" t="s">
        <v>1384</v>
      </c>
      <c r="AU2152" s="93">
        <v>2135</v>
      </c>
      <c r="AV2152" t="s">
        <v>140</v>
      </c>
    </row>
    <row r="2153" spans="20:48">
      <c r="T2153" s="79"/>
      <c r="U2153" s="79"/>
      <c r="AT2153" t="s">
        <v>1385</v>
      </c>
      <c r="AU2153" s="93">
        <v>2136</v>
      </c>
      <c r="AV2153" t="s">
        <v>140</v>
      </c>
    </row>
    <row r="2154" spans="20:48">
      <c r="T2154" s="79"/>
      <c r="U2154" s="79"/>
      <c r="AT2154" t="s">
        <v>1386</v>
      </c>
      <c r="AU2154" s="93">
        <v>2137</v>
      </c>
      <c r="AV2154" t="s">
        <v>111</v>
      </c>
    </row>
    <row r="2155" spans="20:48">
      <c r="T2155" s="79"/>
      <c r="U2155" s="79"/>
      <c r="AT2155" t="s">
        <v>1387</v>
      </c>
      <c r="AU2155" s="93">
        <v>2138</v>
      </c>
      <c r="AV2155" t="s">
        <v>111</v>
      </c>
    </row>
    <row r="2156" spans="20:48">
      <c r="T2156" s="79"/>
      <c r="U2156" s="79"/>
      <c r="AT2156" t="s">
        <v>1388</v>
      </c>
      <c r="AU2156" s="93">
        <v>2139</v>
      </c>
      <c r="AV2156" t="s">
        <v>111</v>
      </c>
    </row>
    <row r="2157" spans="20:48">
      <c r="T2157" s="79"/>
      <c r="U2157" s="79"/>
      <c r="AT2157" t="s">
        <v>1389</v>
      </c>
      <c r="AU2157" s="93">
        <v>2140</v>
      </c>
      <c r="AV2157" t="s">
        <v>121</v>
      </c>
    </row>
    <row r="2158" spans="20:48">
      <c r="T2158" s="79"/>
      <c r="U2158" s="79"/>
      <c r="AT2158" t="s">
        <v>1390</v>
      </c>
      <c r="AU2158" s="93">
        <v>2141</v>
      </c>
      <c r="AV2158" t="s">
        <v>123</v>
      </c>
    </row>
    <row r="2159" spans="20:48">
      <c r="T2159" s="79"/>
      <c r="U2159" s="79"/>
      <c r="AT2159" t="s">
        <v>1391</v>
      </c>
      <c r="AU2159" s="93">
        <v>2142</v>
      </c>
      <c r="AV2159" t="s">
        <v>138</v>
      </c>
    </row>
    <row r="2160" spans="20:48">
      <c r="T2160" s="79"/>
      <c r="U2160" s="79"/>
      <c r="AT2160" t="s">
        <v>1392</v>
      </c>
      <c r="AU2160" s="93">
        <v>2143</v>
      </c>
      <c r="AV2160" t="s">
        <v>140</v>
      </c>
    </row>
    <row r="2161" spans="20:48">
      <c r="T2161" s="79"/>
      <c r="U2161" s="79"/>
      <c r="AT2161" t="s">
        <v>1393</v>
      </c>
      <c r="AU2161" s="93">
        <v>2144</v>
      </c>
      <c r="AV2161" t="s">
        <v>156</v>
      </c>
    </row>
    <row r="2162" spans="20:48">
      <c r="T2162" s="79"/>
      <c r="U2162" s="79"/>
      <c r="AT2162" t="s">
        <v>1394</v>
      </c>
      <c r="AU2162" s="93">
        <v>2145</v>
      </c>
      <c r="AV2162" t="s">
        <v>156</v>
      </c>
    </row>
    <row r="2163" spans="20:48">
      <c r="T2163" s="79"/>
      <c r="U2163" s="79"/>
      <c r="AT2163" t="s">
        <v>1395</v>
      </c>
      <c r="AU2163" s="93">
        <v>2146</v>
      </c>
      <c r="AV2163" t="s">
        <v>117</v>
      </c>
    </row>
    <row r="2164" spans="20:48">
      <c r="T2164" s="79"/>
      <c r="U2164" s="79"/>
      <c r="AT2164" t="s">
        <v>1396</v>
      </c>
      <c r="AU2164" s="93">
        <v>2147</v>
      </c>
      <c r="AV2164" t="s">
        <v>156</v>
      </c>
    </row>
    <row r="2165" spans="20:48">
      <c r="T2165" s="79"/>
      <c r="U2165" s="79"/>
      <c r="AT2165" t="s">
        <v>1397</v>
      </c>
      <c r="AU2165" s="93">
        <v>2148</v>
      </c>
      <c r="AV2165" t="s">
        <v>121</v>
      </c>
    </row>
    <row r="2166" spans="20:48">
      <c r="T2166" s="79"/>
      <c r="U2166" s="79"/>
      <c r="AT2166" t="s">
        <v>1398</v>
      </c>
      <c r="AU2166" s="93">
        <v>2149</v>
      </c>
      <c r="AV2166" t="s">
        <v>115</v>
      </c>
    </row>
    <row r="2167" spans="20:48">
      <c r="T2167" s="79"/>
      <c r="U2167" s="79"/>
      <c r="AT2167" t="s">
        <v>1399</v>
      </c>
      <c r="AU2167" s="93">
        <v>2150</v>
      </c>
      <c r="AV2167" t="s">
        <v>124</v>
      </c>
    </row>
    <row r="2168" spans="20:48">
      <c r="T2168" s="79"/>
      <c r="U2168" s="79"/>
      <c r="AT2168" t="s">
        <v>1400</v>
      </c>
      <c r="AU2168" s="93">
        <v>2151</v>
      </c>
      <c r="AV2168" t="s">
        <v>124</v>
      </c>
    </row>
    <row r="2169" spans="20:48">
      <c r="T2169" s="79"/>
      <c r="U2169" s="79"/>
      <c r="AT2169" t="s">
        <v>1401</v>
      </c>
      <c r="AU2169" s="93">
        <v>2152</v>
      </c>
      <c r="AV2169" t="s">
        <v>115</v>
      </c>
    </row>
    <row r="2170" spans="20:48">
      <c r="T2170" s="79"/>
      <c r="U2170" s="79"/>
      <c r="AT2170" t="s">
        <v>1402</v>
      </c>
      <c r="AU2170" s="93">
        <v>2153</v>
      </c>
      <c r="AV2170" t="s">
        <v>139</v>
      </c>
    </row>
    <row r="2171" spans="20:48">
      <c r="T2171" s="79"/>
      <c r="U2171" s="79"/>
      <c r="AT2171" t="s">
        <v>1403</v>
      </c>
      <c r="AU2171" s="93">
        <v>2154</v>
      </c>
      <c r="AV2171" t="s">
        <v>115</v>
      </c>
    </row>
    <row r="2172" spans="20:48">
      <c r="T2172" s="79"/>
      <c r="U2172" s="79"/>
      <c r="AT2172" t="s">
        <v>1404</v>
      </c>
      <c r="AU2172" s="93">
        <v>2155</v>
      </c>
      <c r="AV2172" t="s">
        <v>139</v>
      </c>
    </row>
    <row r="2173" spans="20:48">
      <c r="T2173" s="79"/>
      <c r="U2173" s="79"/>
      <c r="AT2173" t="s">
        <v>1405</v>
      </c>
      <c r="AU2173" s="93">
        <v>2156</v>
      </c>
      <c r="AV2173" t="s">
        <v>120</v>
      </c>
    </row>
    <row r="2174" spans="20:48">
      <c r="T2174" s="79"/>
      <c r="U2174" s="79"/>
      <c r="AT2174" t="s">
        <v>1406</v>
      </c>
      <c r="AU2174" s="93">
        <v>2157</v>
      </c>
      <c r="AV2174" t="s">
        <v>115</v>
      </c>
    </row>
    <row r="2175" spans="20:48">
      <c r="T2175" s="79"/>
      <c r="U2175" s="79"/>
      <c r="AT2175" t="s">
        <v>1407</v>
      </c>
      <c r="AU2175" s="93">
        <v>2158</v>
      </c>
      <c r="AV2175" t="s">
        <v>115</v>
      </c>
    </row>
    <row r="2176" spans="20:48">
      <c r="T2176" s="79"/>
      <c r="U2176" s="79"/>
      <c r="AT2176" t="s">
        <v>1408</v>
      </c>
      <c r="AU2176" s="93">
        <v>2159</v>
      </c>
      <c r="AV2176" t="s">
        <v>115</v>
      </c>
    </row>
    <row r="2177" spans="20:48">
      <c r="T2177" s="79"/>
      <c r="U2177" s="79"/>
      <c r="AT2177" t="s">
        <v>1409</v>
      </c>
      <c r="AU2177" s="93">
        <v>2160</v>
      </c>
      <c r="AV2177" t="s">
        <v>115</v>
      </c>
    </row>
    <row r="2178" spans="20:48">
      <c r="T2178" s="79"/>
      <c r="U2178" s="79"/>
      <c r="AT2178" t="s">
        <v>1410</v>
      </c>
      <c r="AU2178" s="93">
        <v>2161</v>
      </c>
      <c r="AV2178" t="s">
        <v>115</v>
      </c>
    </row>
    <row r="2179" spans="20:48">
      <c r="T2179" s="79"/>
      <c r="U2179" s="79"/>
      <c r="AT2179" t="s">
        <v>1411</v>
      </c>
      <c r="AU2179" s="93">
        <v>2162</v>
      </c>
      <c r="AV2179" t="s">
        <v>115</v>
      </c>
    </row>
    <row r="2180" spans="20:48">
      <c r="T2180" s="79"/>
      <c r="U2180" s="79"/>
      <c r="AT2180" t="s">
        <v>1412</v>
      </c>
      <c r="AU2180" s="93">
        <v>2163</v>
      </c>
      <c r="AV2180" t="s">
        <v>120</v>
      </c>
    </row>
    <row r="2181" spans="20:48">
      <c r="T2181" s="79"/>
      <c r="U2181" s="79"/>
      <c r="AT2181" t="s">
        <v>1413</v>
      </c>
      <c r="AU2181" s="93">
        <v>2164</v>
      </c>
      <c r="AV2181" t="s">
        <v>120</v>
      </c>
    </row>
    <row r="2182" spans="20:48">
      <c r="T2182" s="79"/>
      <c r="U2182" s="79"/>
      <c r="AT2182" t="s">
        <v>1414</v>
      </c>
      <c r="AU2182" s="93">
        <v>2165</v>
      </c>
      <c r="AV2182" t="s">
        <v>120</v>
      </c>
    </row>
    <row r="2183" spans="20:48">
      <c r="T2183" s="79"/>
      <c r="U2183" s="79"/>
      <c r="AT2183" t="s">
        <v>1415</v>
      </c>
      <c r="AU2183" s="93">
        <v>2166</v>
      </c>
      <c r="AV2183" t="s">
        <v>115</v>
      </c>
    </row>
    <row r="2184" spans="20:48">
      <c r="T2184" s="79"/>
      <c r="U2184" s="79"/>
      <c r="AT2184" t="s">
        <v>1416</v>
      </c>
      <c r="AU2184" s="93">
        <v>2167</v>
      </c>
      <c r="AV2184" t="s">
        <v>1302</v>
      </c>
    </row>
    <row r="2185" spans="20:48">
      <c r="T2185" s="79"/>
      <c r="U2185" s="79"/>
      <c r="AT2185" t="s">
        <v>1417</v>
      </c>
      <c r="AU2185" s="93">
        <v>2168</v>
      </c>
      <c r="AV2185" t="s">
        <v>1302</v>
      </c>
    </row>
    <row r="2186" spans="20:48">
      <c r="T2186" s="79"/>
      <c r="U2186" s="79"/>
      <c r="AT2186" t="s">
        <v>1418</v>
      </c>
      <c r="AU2186" s="93">
        <v>2169</v>
      </c>
      <c r="AV2186" t="s">
        <v>874</v>
      </c>
    </row>
    <row r="2187" spans="20:48">
      <c r="T2187" s="79"/>
      <c r="U2187" s="79"/>
      <c r="AT2187" t="s">
        <v>1419</v>
      </c>
      <c r="AU2187" s="93">
        <v>2170</v>
      </c>
      <c r="AV2187" t="s">
        <v>874</v>
      </c>
    </row>
    <row r="2188" spans="20:48">
      <c r="T2188" s="79"/>
      <c r="U2188" s="79"/>
      <c r="AT2188" t="s">
        <v>1420</v>
      </c>
      <c r="AU2188" s="93">
        <v>2171</v>
      </c>
      <c r="AV2188" t="s">
        <v>111</v>
      </c>
    </row>
    <row r="2189" spans="20:48">
      <c r="T2189" s="79"/>
      <c r="U2189" s="79"/>
      <c r="AT2189" t="s">
        <v>1421</v>
      </c>
      <c r="AU2189" s="93">
        <v>2172</v>
      </c>
      <c r="AV2189" t="s">
        <v>874</v>
      </c>
    </row>
    <row r="2190" spans="20:48">
      <c r="T2190" s="79"/>
      <c r="U2190" s="79"/>
      <c r="AT2190" t="s">
        <v>1422</v>
      </c>
      <c r="AU2190" s="93">
        <v>2173</v>
      </c>
      <c r="AV2190" t="s">
        <v>117</v>
      </c>
    </row>
    <row r="2191" spans="20:48">
      <c r="T2191" s="79"/>
      <c r="U2191" s="79"/>
      <c r="AT2191" t="s">
        <v>1423</v>
      </c>
      <c r="AU2191" s="93">
        <v>2174</v>
      </c>
      <c r="AV2191" t="s">
        <v>145</v>
      </c>
    </row>
    <row r="2192" spans="20:48">
      <c r="T2192" s="79"/>
      <c r="U2192" s="79"/>
      <c r="AT2192" t="s">
        <v>1424</v>
      </c>
      <c r="AU2192" s="93">
        <v>2175</v>
      </c>
      <c r="AV2192" t="s">
        <v>145</v>
      </c>
    </row>
    <row r="2193" spans="20:48">
      <c r="T2193" s="79"/>
      <c r="U2193" s="79"/>
      <c r="AT2193" t="s">
        <v>1425</v>
      </c>
      <c r="AU2193" s="93">
        <v>2176</v>
      </c>
      <c r="AV2193" t="s">
        <v>145</v>
      </c>
    </row>
    <row r="2194" spans="20:48">
      <c r="T2194" s="79"/>
      <c r="U2194" s="79"/>
      <c r="AT2194" t="s">
        <v>1426</v>
      </c>
      <c r="AU2194" s="93">
        <v>2177</v>
      </c>
      <c r="AV2194" t="s">
        <v>145</v>
      </c>
    </row>
    <row r="2195" spans="20:48">
      <c r="T2195" s="79"/>
      <c r="U2195" s="79"/>
      <c r="AT2195" t="s">
        <v>1427</v>
      </c>
      <c r="AU2195" s="93">
        <v>2178</v>
      </c>
      <c r="AV2195" t="s">
        <v>1428</v>
      </c>
    </row>
    <row r="2196" spans="20:48">
      <c r="T2196" s="79"/>
      <c r="U2196" s="79"/>
      <c r="AT2196" t="s">
        <v>1429</v>
      </c>
      <c r="AU2196" s="93">
        <v>2179</v>
      </c>
      <c r="AV2196" t="s">
        <v>141</v>
      </c>
    </row>
    <row r="2197" spans="20:48">
      <c r="T2197" s="79"/>
      <c r="U2197" s="79"/>
      <c r="AT2197" t="s">
        <v>1430</v>
      </c>
      <c r="AU2197" s="93">
        <v>2180</v>
      </c>
      <c r="AV2197" t="s">
        <v>111</v>
      </c>
    </row>
    <row r="2198" spans="20:48">
      <c r="T2198" s="79"/>
      <c r="U2198" s="79"/>
      <c r="AT2198" t="s">
        <v>1431</v>
      </c>
      <c r="AU2198" s="93">
        <v>2181</v>
      </c>
      <c r="AV2198" t="s">
        <v>111</v>
      </c>
    </row>
    <row r="2199" spans="20:48">
      <c r="T2199" s="79"/>
      <c r="U2199" s="79"/>
      <c r="AT2199" t="s">
        <v>1432</v>
      </c>
      <c r="AU2199" s="93">
        <v>2182</v>
      </c>
      <c r="AV2199" t="s">
        <v>149</v>
      </c>
    </row>
    <row r="2200" spans="20:48">
      <c r="T2200" s="79"/>
      <c r="U2200" s="79"/>
      <c r="AT2200" t="s">
        <v>1433</v>
      </c>
      <c r="AU2200" s="93">
        <v>2183</v>
      </c>
      <c r="AV2200" t="s">
        <v>141</v>
      </c>
    </row>
    <row r="2201" spans="20:48">
      <c r="T2201" s="79"/>
      <c r="U2201" s="79"/>
      <c r="AT2201" t="s">
        <v>1434</v>
      </c>
      <c r="AU2201" s="93">
        <v>2184</v>
      </c>
      <c r="AV2201" t="s">
        <v>141</v>
      </c>
    </row>
    <row r="2202" spans="20:48">
      <c r="T2202" s="79"/>
      <c r="U2202" s="79"/>
      <c r="AT2202" t="s">
        <v>1435</v>
      </c>
      <c r="AU2202" s="93">
        <v>2185</v>
      </c>
      <c r="AV2202" t="s">
        <v>145</v>
      </c>
    </row>
    <row r="2203" spans="20:48">
      <c r="T2203" s="79"/>
      <c r="U2203" s="79"/>
      <c r="AT2203" t="s">
        <v>1436</v>
      </c>
      <c r="AU2203" s="93">
        <v>2186</v>
      </c>
      <c r="AV2203" t="s">
        <v>115</v>
      </c>
    </row>
    <row r="2204" spans="20:48">
      <c r="T2204" s="79"/>
      <c r="U2204" s="79"/>
      <c r="AT2204" t="s">
        <v>1437</v>
      </c>
      <c r="AU2204" s="93">
        <v>2187</v>
      </c>
      <c r="AV2204" t="s">
        <v>115</v>
      </c>
    </row>
    <row r="2205" spans="20:48">
      <c r="T2205" s="79"/>
      <c r="U2205" s="79"/>
      <c r="AT2205" t="s">
        <v>1438</v>
      </c>
      <c r="AU2205" s="93">
        <v>2188</v>
      </c>
      <c r="AV2205" t="s">
        <v>115</v>
      </c>
    </row>
    <row r="2206" spans="20:48">
      <c r="T2206" s="79"/>
      <c r="U2206" s="79"/>
      <c r="AT2206" t="s">
        <v>1439</v>
      </c>
      <c r="AU2206" s="93">
        <v>2189</v>
      </c>
      <c r="AV2206" t="s">
        <v>115</v>
      </c>
    </row>
    <row r="2207" spans="20:48">
      <c r="T2207" s="79"/>
      <c r="U2207" s="79"/>
      <c r="AT2207" t="s">
        <v>1440</v>
      </c>
      <c r="AU2207" s="93">
        <v>2190</v>
      </c>
      <c r="AV2207" t="s">
        <v>115</v>
      </c>
    </row>
    <row r="2208" spans="20:48">
      <c r="T2208" s="79"/>
      <c r="U2208" s="79"/>
      <c r="AT2208" t="s">
        <v>1441</v>
      </c>
      <c r="AU2208" s="93">
        <v>2191</v>
      </c>
      <c r="AV2208" t="s">
        <v>115</v>
      </c>
    </row>
    <row r="2209" spans="20:48">
      <c r="T2209" s="79"/>
      <c r="U2209" s="79"/>
      <c r="AT2209" t="s">
        <v>1442</v>
      </c>
      <c r="AU2209" s="93">
        <v>2192</v>
      </c>
      <c r="AV2209" t="s">
        <v>115</v>
      </c>
    </row>
    <row r="2210" spans="20:48">
      <c r="T2210" s="79"/>
      <c r="U2210" s="79"/>
      <c r="AT2210" t="s">
        <v>1443</v>
      </c>
      <c r="AU2210" s="93">
        <v>2193</v>
      </c>
      <c r="AV2210" t="s">
        <v>115</v>
      </c>
    </row>
    <row r="2211" spans="20:48">
      <c r="T2211" s="79"/>
      <c r="U2211" s="79"/>
      <c r="AT2211" t="s">
        <v>1444</v>
      </c>
      <c r="AU2211" s="93">
        <v>2194</v>
      </c>
      <c r="AV2211" t="s">
        <v>115</v>
      </c>
    </row>
    <row r="2212" spans="20:48">
      <c r="T2212" s="79"/>
      <c r="U2212" s="79"/>
      <c r="AT2212" t="s">
        <v>1445</v>
      </c>
      <c r="AU2212" s="93">
        <v>2195</v>
      </c>
      <c r="AV2212" t="s">
        <v>123</v>
      </c>
    </row>
    <row r="2213" spans="20:48">
      <c r="T2213" s="79"/>
      <c r="U2213" s="79"/>
      <c r="AT2213" t="s">
        <v>1446</v>
      </c>
      <c r="AU2213" s="93">
        <v>2196</v>
      </c>
      <c r="AV2213" t="s">
        <v>123</v>
      </c>
    </row>
    <row r="2214" spans="20:48">
      <c r="T2214" s="79"/>
      <c r="U2214" s="79"/>
      <c r="AT2214" t="s">
        <v>1447</v>
      </c>
      <c r="AU2214" s="93">
        <v>2197</v>
      </c>
      <c r="AV2214" t="s">
        <v>119</v>
      </c>
    </row>
    <row r="2215" spans="20:48">
      <c r="T2215" s="79"/>
      <c r="U2215" s="79"/>
      <c r="AT2215" t="s">
        <v>1448</v>
      </c>
      <c r="AU2215" s="93">
        <v>2198</v>
      </c>
      <c r="AV2215" t="s">
        <v>129</v>
      </c>
    </row>
    <row r="2216" spans="20:48">
      <c r="T2216" s="79"/>
      <c r="U2216" s="79"/>
      <c r="AT2216" t="s">
        <v>1449</v>
      </c>
      <c r="AU2216" s="93">
        <v>2199</v>
      </c>
      <c r="AV2216" t="s">
        <v>123</v>
      </c>
    </row>
    <row r="2217" spans="20:48">
      <c r="T2217" s="79"/>
      <c r="U2217" s="79"/>
      <c r="AT2217" t="s">
        <v>1450</v>
      </c>
      <c r="AU2217" s="93">
        <v>2200</v>
      </c>
      <c r="AV2217" t="s">
        <v>129</v>
      </c>
    </row>
    <row r="2218" spans="20:48">
      <c r="T2218" s="79"/>
      <c r="U2218" s="79"/>
      <c r="AT2218" t="s">
        <v>1451</v>
      </c>
      <c r="AU2218" s="93">
        <v>2201</v>
      </c>
      <c r="AV2218" t="s">
        <v>150</v>
      </c>
    </row>
    <row r="2219" spans="20:48">
      <c r="T2219" s="79"/>
      <c r="U2219" s="79"/>
      <c r="AT2219" t="s">
        <v>1452</v>
      </c>
      <c r="AU2219" s="93">
        <v>2202</v>
      </c>
      <c r="AV2219" t="s">
        <v>150</v>
      </c>
    </row>
    <row r="2220" spans="20:48">
      <c r="T2220" s="79"/>
      <c r="U2220" s="79"/>
      <c r="AT2220" t="s">
        <v>1453</v>
      </c>
      <c r="AU2220" s="93">
        <v>2203</v>
      </c>
      <c r="AV2220" t="s">
        <v>115</v>
      </c>
    </row>
    <row r="2221" spans="20:48">
      <c r="T2221" s="79"/>
      <c r="U2221" s="79"/>
      <c r="AT2221" t="s">
        <v>1454</v>
      </c>
      <c r="AU2221" s="93">
        <v>2204</v>
      </c>
      <c r="AV2221" t="s">
        <v>115</v>
      </c>
    </row>
    <row r="2222" spans="20:48">
      <c r="T2222" s="79"/>
      <c r="U2222" s="79"/>
      <c r="AT2222" t="s">
        <v>1455</v>
      </c>
      <c r="AU2222" s="93">
        <v>2205</v>
      </c>
      <c r="AV2222" t="s">
        <v>115</v>
      </c>
    </row>
    <row r="2223" spans="20:48">
      <c r="T2223" s="79"/>
      <c r="U2223" s="79"/>
      <c r="AT2223" t="s">
        <v>1456</v>
      </c>
      <c r="AU2223" s="93">
        <v>2206</v>
      </c>
      <c r="AV2223" t="s">
        <v>1457</v>
      </c>
    </row>
    <row r="2224" spans="20:48">
      <c r="T2224" s="79"/>
      <c r="U2224" s="79"/>
      <c r="AT2224" t="s">
        <v>1458</v>
      </c>
      <c r="AU2224" s="93">
        <v>2207</v>
      </c>
      <c r="AV2224" t="s">
        <v>762</v>
      </c>
    </row>
    <row r="2225" spans="20:48">
      <c r="T2225" s="79"/>
      <c r="U2225" s="79"/>
      <c r="AT2225" t="s">
        <v>1459</v>
      </c>
      <c r="AU2225" s="93">
        <v>2208</v>
      </c>
      <c r="AV2225" t="s">
        <v>762</v>
      </c>
    </row>
    <row r="2226" spans="20:48">
      <c r="T2226" s="79"/>
      <c r="U2226" s="79"/>
      <c r="AT2226" t="s">
        <v>1460</v>
      </c>
      <c r="AU2226" s="93">
        <v>2209</v>
      </c>
      <c r="AV2226" t="s">
        <v>762</v>
      </c>
    </row>
    <row r="2227" spans="20:48">
      <c r="T2227" s="79"/>
      <c r="U2227" s="79"/>
      <c r="AT2227" t="s">
        <v>1461</v>
      </c>
      <c r="AU2227" s="93">
        <v>2210</v>
      </c>
      <c r="AV2227" t="s">
        <v>762</v>
      </c>
    </row>
    <row r="2228" spans="20:48">
      <c r="T2228" s="79"/>
      <c r="U2228" s="79"/>
      <c r="AT2228" t="s">
        <v>1462</v>
      </c>
      <c r="AU2228" s="93">
        <v>2211</v>
      </c>
      <c r="AV2228" t="s">
        <v>762</v>
      </c>
    </row>
    <row r="2229" spans="20:48">
      <c r="T2229" s="79"/>
      <c r="U2229" s="79"/>
      <c r="AT2229" t="s">
        <v>1463</v>
      </c>
      <c r="AU2229" s="93">
        <v>2212</v>
      </c>
      <c r="AV2229" t="s">
        <v>150</v>
      </c>
    </row>
    <row r="2230" spans="20:48">
      <c r="T2230" s="79"/>
      <c r="U2230" s="79"/>
      <c r="AT2230" t="s">
        <v>1464</v>
      </c>
      <c r="AU2230" s="93">
        <v>2213</v>
      </c>
      <c r="AV2230" t="s">
        <v>147</v>
      </c>
    </row>
    <row r="2231" spans="20:48">
      <c r="T2231" s="79"/>
      <c r="U2231" s="79"/>
      <c r="AT2231" t="s">
        <v>1465</v>
      </c>
      <c r="AU2231" s="93">
        <v>2214</v>
      </c>
      <c r="AV2231" t="s">
        <v>150</v>
      </c>
    </row>
    <row r="2232" spans="20:48">
      <c r="T2232" s="79"/>
      <c r="U2232" s="79"/>
      <c r="AT2232" t="s">
        <v>1466</v>
      </c>
      <c r="AU2232" s="93">
        <v>2215</v>
      </c>
      <c r="AV2232" t="s">
        <v>120</v>
      </c>
    </row>
    <row r="2233" spans="20:48">
      <c r="T2233" s="79"/>
      <c r="U2233" s="79"/>
      <c r="AT2233" t="s">
        <v>1467</v>
      </c>
      <c r="AU2233" s="93">
        <v>2216</v>
      </c>
      <c r="AV2233" t="s">
        <v>136</v>
      </c>
    </row>
    <row r="2234" spans="20:48">
      <c r="T2234" s="79"/>
      <c r="U2234" s="79"/>
      <c r="AT2234" t="s">
        <v>1468</v>
      </c>
      <c r="AU2234" s="93">
        <v>2217</v>
      </c>
      <c r="AV2234" t="s">
        <v>111</v>
      </c>
    </row>
    <row r="2235" spans="20:48">
      <c r="T2235" s="79"/>
      <c r="U2235" s="79"/>
      <c r="AT2235" t="s">
        <v>1469</v>
      </c>
      <c r="AU2235" s="93">
        <v>2218</v>
      </c>
      <c r="AV2235" t="s">
        <v>119</v>
      </c>
    </row>
    <row r="2236" spans="20:48">
      <c r="T2236" s="79"/>
      <c r="U2236" s="79"/>
      <c r="AT2236" t="s">
        <v>1470</v>
      </c>
      <c r="AU2236" s="93">
        <v>2219</v>
      </c>
      <c r="AV2236" t="s">
        <v>147</v>
      </c>
    </row>
    <row r="2237" spans="20:48">
      <c r="T2237" s="79"/>
      <c r="U2237" s="79"/>
      <c r="AT2237" t="s">
        <v>1471</v>
      </c>
      <c r="AU2237" s="93">
        <v>2220</v>
      </c>
      <c r="AV2237" t="s">
        <v>119</v>
      </c>
    </row>
    <row r="2238" spans="20:48">
      <c r="T2238" s="79"/>
      <c r="U2238" s="79"/>
      <c r="AT2238" t="s">
        <v>1472</v>
      </c>
      <c r="AU2238" s="93">
        <v>2221</v>
      </c>
      <c r="AV2238" t="s">
        <v>111</v>
      </c>
    </row>
    <row r="2239" spans="20:48">
      <c r="T2239" s="79"/>
      <c r="U2239" s="79"/>
      <c r="AT2239" t="s">
        <v>1473</v>
      </c>
      <c r="AU2239" s="93">
        <v>2222</v>
      </c>
      <c r="AV2239" t="s">
        <v>119</v>
      </c>
    </row>
    <row r="2240" spans="20:48">
      <c r="T2240" s="79"/>
      <c r="U2240" s="79"/>
      <c r="AT2240" t="s">
        <v>1474</v>
      </c>
      <c r="AU2240" s="93">
        <v>2223</v>
      </c>
      <c r="AV2240" t="s">
        <v>120</v>
      </c>
    </row>
    <row r="2241" spans="20:48">
      <c r="T2241" s="79"/>
      <c r="U2241" s="79"/>
      <c r="AT2241" t="s">
        <v>1475</v>
      </c>
      <c r="AU2241" s="93">
        <v>2224</v>
      </c>
      <c r="AV2241" t="s">
        <v>111</v>
      </c>
    </row>
    <row r="2242" spans="20:48">
      <c r="T2242" s="79"/>
      <c r="U2242" s="79"/>
      <c r="AT2242" t="s">
        <v>1476</v>
      </c>
      <c r="AU2242" s="93">
        <v>2225</v>
      </c>
      <c r="AV2242" t="s">
        <v>115</v>
      </c>
    </row>
    <row r="2243" spans="20:48">
      <c r="T2243" s="79"/>
      <c r="U2243" s="79"/>
      <c r="AT2243" t="s">
        <v>1477</v>
      </c>
      <c r="AU2243" s="93">
        <v>2226</v>
      </c>
      <c r="AV2243" t="s">
        <v>115</v>
      </c>
    </row>
    <row r="2244" spans="20:48">
      <c r="T2244" s="79"/>
      <c r="U2244" s="79"/>
      <c r="AT2244" t="s">
        <v>1478</v>
      </c>
      <c r="AU2244" s="93">
        <v>2227</v>
      </c>
      <c r="AV2244" t="s">
        <v>1479</v>
      </c>
    </row>
    <row r="2245" spans="20:48">
      <c r="T2245" s="79"/>
      <c r="U2245" s="79"/>
      <c r="AT2245" t="s">
        <v>1480</v>
      </c>
      <c r="AU2245" s="93">
        <v>2228</v>
      </c>
      <c r="AV2245" t="s">
        <v>147</v>
      </c>
    </row>
    <row r="2246" spans="20:48">
      <c r="T2246" s="79"/>
      <c r="U2246" s="79"/>
      <c r="AT2246" t="s">
        <v>1481</v>
      </c>
      <c r="AU2246" s="93">
        <v>2229</v>
      </c>
      <c r="AV2246" t="s">
        <v>147</v>
      </c>
    </row>
    <row r="2247" spans="20:48">
      <c r="T2247" s="79"/>
      <c r="U2247" s="79"/>
      <c r="AT2247" t="s">
        <v>1482</v>
      </c>
      <c r="AU2247" s="93">
        <v>2230</v>
      </c>
      <c r="AV2247" t="s">
        <v>147</v>
      </c>
    </row>
    <row r="2248" spans="20:48">
      <c r="T2248" s="79"/>
      <c r="U2248" s="79"/>
      <c r="AT2248" t="s">
        <v>1483</v>
      </c>
      <c r="AU2248" s="93">
        <v>2231</v>
      </c>
      <c r="AV2248" t="s">
        <v>115</v>
      </c>
    </row>
    <row r="2249" spans="20:48">
      <c r="T2249" s="79"/>
      <c r="U2249" s="79"/>
      <c r="AT2249" t="s">
        <v>1484</v>
      </c>
      <c r="AU2249" s="93">
        <v>2232</v>
      </c>
      <c r="AV2249" t="s">
        <v>115</v>
      </c>
    </row>
    <row r="2250" spans="20:48">
      <c r="T2250" s="79"/>
      <c r="U2250" s="79"/>
      <c r="AT2250" t="s">
        <v>1485</v>
      </c>
      <c r="AU2250" s="93">
        <v>2233</v>
      </c>
      <c r="AV2250" t="s">
        <v>115</v>
      </c>
    </row>
    <row r="2251" spans="20:48">
      <c r="T2251" s="79"/>
      <c r="U2251" s="79"/>
      <c r="AT2251" t="s">
        <v>1486</v>
      </c>
      <c r="AU2251" s="93">
        <v>2234</v>
      </c>
      <c r="AV2251" t="s">
        <v>115</v>
      </c>
    </row>
    <row r="2252" spans="20:48">
      <c r="T2252" s="79"/>
      <c r="U2252" s="79"/>
      <c r="AT2252" t="s">
        <v>1487</v>
      </c>
      <c r="AU2252" s="93">
        <v>2235</v>
      </c>
      <c r="AV2252" t="s">
        <v>1488</v>
      </c>
    </row>
    <row r="2253" spans="20:48">
      <c r="T2253" s="79"/>
      <c r="U2253" s="79"/>
      <c r="AT2253" t="s">
        <v>1489</v>
      </c>
      <c r="AU2253" s="93">
        <v>2236</v>
      </c>
      <c r="AV2253" t="s">
        <v>111</v>
      </c>
    </row>
    <row r="2254" spans="20:48">
      <c r="T2254" s="79"/>
      <c r="U2254" s="79"/>
      <c r="AT2254" t="s">
        <v>1490</v>
      </c>
      <c r="AU2254" s="93">
        <v>2237</v>
      </c>
      <c r="AV2254" t="s">
        <v>136</v>
      </c>
    </row>
    <row r="2255" spans="20:48">
      <c r="T2255" s="79"/>
      <c r="U2255" s="79"/>
      <c r="AT2255" t="s">
        <v>1491</v>
      </c>
      <c r="AU2255" s="93">
        <v>2238</v>
      </c>
      <c r="AV2255" t="s">
        <v>141</v>
      </c>
    </row>
    <row r="2256" spans="20:48">
      <c r="T2256" s="79"/>
      <c r="U2256" s="79"/>
      <c r="AT2256" t="s">
        <v>1492</v>
      </c>
      <c r="AU2256" s="93">
        <v>2239</v>
      </c>
      <c r="AV2256" t="s">
        <v>115</v>
      </c>
    </row>
    <row r="2257" spans="20:48">
      <c r="T2257" s="79"/>
      <c r="U2257" s="79"/>
      <c r="AT2257" t="s">
        <v>1493</v>
      </c>
      <c r="AU2257" s="93">
        <v>2240</v>
      </c>
      <c r="AV2257" t="s">
        <v>141</v>
      </c>
    </row>
    <row r="2258" spans="20:48">
      <c r="T2258" s="79"/>
      <c r="U2258" s="79"/>
      <c r="AT2258" t="s">
        <v>1494</v>
      </c>
      <c r="AU2258" s="93">
        <v>2241</v>
      </c>
      <c r="AV2258" t="s">
        <v>141</v>
      </c>
    </row>
    <row r="2259" spans="20:48">
      <c r="T2259" s="79"/>
      <c r="U2259" s="79"/>
      <c r="AT2259" t="s">
        <v>1495</v>
      </c>
      <c r="AU2259" s="93">
        <v>2242</v>
      </c>
      <c r="AV2259" t="s">
        <v>141</v>
      </c>
    </row>
    <row r="2260" spans="20:48">
      <c r="T2260" s="79"/>
      <c r="U2260" s="79"/>
      <c r="AT2260" t="s">
        <v>1496</v>
      </c>
      <c r="AU2260" s="93">
        <v>2243</v>
      </c>
      <c r="AV2260" t="s">
        <v>147</v>
      </c>
    </row>
    <row r="2261" spans="20:48">
      <c r="T2261" s="79"/>
      <c r="U2261" s="79"/>
      <c r="AT2261" t="s">
        <v>1497</v>
      </c>
      <c r="AU2261" s="93">
        <v>2244</v>
      </c>
      <c r="AV2261" t="s">
        <v>147</v>
      </c>
    </row>
    <row r="2262" spans="20:48">
      <c r="T2262" s="79"/>
      <c r="U2262" s="79"/>
      <c r="AT2262" t="s">
        <v>1498</v>
      </c>
      <c r="AU2262" s="93">
        <v>2245</v>
      </c>
      <c r="AV2262" t="s">
        <v>136</v>
      </c>
    </row>
    <row r="2263" spans="20:48">
      <c r="T2263" s="79"/>
      <c r="U2263" s="79"/>
      <c r="AT2263" t="s">
        <v>1499</v>
      </c>
      <c r="AU2263" s="93">
        <v>2246</v>
      </c>
      <c r="AV2263" t="s">
        <v>114</v>
      </c>
    </row>
    <row r="2264" spans="20:48">
      <c r="T2264" s="79"/>
      <c r="U2264" s="79"/>
      <c r="AT2264" t="s">
        <v>1500</v>
      </c>
      <c r="AU2264" s="93">
        <v>2247</v>
      </c>
      <c r="AV2264" t="s">
        <v>114</v>
      </c>
    </row>
    <row r="2265" spans="20:48">
      <c r="T2265" s="79"/>
      <c r="U2265" s="79"/>
      <c r="AT2265" t="s">
        <v>1501</v>
      </c>
      <c r="AU2265" s="93">
        <v>2248</v>
      </c>
      <c r="AV2265" t="s">
        <v>147</v>
      </c>
    </row>
    <row r="2266" spans="20:48">
      <c r="T2266" s="79"/>
      <c r="U2266" s="79"/>
      <c r="AT2266" t="s">
        <v>1502</v>
      </c>
      <c r="AU2266" s="93">
        <v>2249</v>
      </c>
      <c r="AV2266" t="s">
        <v>147</v>
      </c>
    </row>
    <row r="2267" spans="20:48">
      <c r="T2267" s="79"/>
      <c r="U2267" s="79"/>
      <c r="AT2267" t="s">
        <v>1503</v>
      </c>
      <c r="AU2267" s="93">
        <v>2250</v>
      </c>
      <c r="AV2267" t="s">
        <v>147</v>
      </c>
    </row>
    <row r="2268" spans="20:48">
      <c r="T2268" s="79"/>
      <c r="U2268" s="79"/>
      <c r="AT2268" t="s">
        <v>1504</v>
      </c>
      <c r="AU2268" s="93">
        <v>2251</v>
      </c>
      <c r="AV2268" t="s">
        <v>111</v>
      </c>
    </row>
    <row r="2269" spans="20:48">
      <c r="T2269" s="79"/>
      <c r="U2269" s="79"/>
      <c r="AT2269" t="s">
        <v>1505</v>
      </c>
      <c r="AU2269" s="93">
        <v>2252</v>
      </c>
      <c r="AV2269" t="s">
        <v>115</v>
      </c>
    </row>
    <row r="2270" spans="20:48">
      <c r="T2270" s="79"/>
      <c r="U2270" s="79"/>
      <c r="AT2270" t="s">
        <v>1506</v>
      </c>
      <c r="AU2270" s="93">
        <v>2253</v>
      </c>
      <c r="AV2270" t="s">
        <v>147</v>
      </c>
    </row>
    <row r="2271" spans="20:48">
      <c r="T2271" s="79"/>
      <c r="U2271" s="79"/>
      <c r="AT2271" t="s">
        <v>1507</v>
      </c>
      <c r="AU2271" s="93">
        <v>2254</v>
      </c>
      <c r="AV2271" t="s">
        <v>147</v>
      </c>
    </row>
    <row r="2272" spans="20:48">
      <c r="T2272" s="79"/>
      <c r="U2272" s="79"/>
      <c r="AT2272" t="s">
        <v>1508</v>
      </c>
      <c r="AU2272" s="93">
        <v>2255</v>
      </c>
      <c r="AV2272" t="s">
        <v>147</v>
      </c>
    </row>
    <row r="2273" spans="20:48">
      <c r="T2273" s="79"/>
      <c r="U2273" s="79"/>
      <c r="AT2273" t="s">
        <v>1509</v>
      </c>
      <c r="AU2273" s="93">
        <v>2256</v>
      </c>
      <c r="AV2273" t="s">
        <v>117</v>
      </c>
    </row>
    <row r="2274" spans="20:48">
      <c r="T2274" s="79"/>
      <c r="U2274" s="79"/>
      <c r="AT2274" t="s">
        <v>1510</v>
      </c>
      <c r="AU2274" s="93">
        <v>2257</v>
      </c>
      <c r="AV2274" t="s">
        <v>145</v>
      </c>
    </row>
    <row r="2275" spans="20:48">
      <c r="T2275" s="79"/>
      <c r="U2275" s="79"/>
      <c r="AT2275" t="s">
        <v>1511</v>
      </c>
      <c r="AU2275" s="93">
        <v>2258</v>
      </c>
      <c r="AV2275" t="s">
        <v>111</v>
      </c>
    </row>
    <row r="2276" spans="20:48">
      <c r="T2276" s="79"/>
      <c r="U2276" s="79"/>
      <c r="AT2276" t="s">
        <v>1512</v>
      </c>
      <c r="AU2276" s="93">
        <v>2259</v>
      </c>
      <c r="AV2276" t="s">
        <v>150</v>
      </c>
    </row>
    <row r="2277" spans="20:48">
      <c r="T2277" s="79"/>
      <c r="U2277" s="79"/>
      <c r="AT2277" t="s">
        <v>1513</v>
      </c>
      <c r="AU2277" s="93">
        <v>2260</v>
      </c>
      <c r="AV2277" t="s">
        <v>123</v>
      </c>
    </row>
    <row r="2278" spans="20:48">
      <c r="T2278" s="79"/>
      <c r="U2278" s="79"/>
      <c r="AT2278" t="s">
        <v>1514</v>
      </c>
      <c r="AU2278" s="93">
        <v>2261</v>
      </c>
      <c r="AV2278" t="s">
        <v>111</v>
      </c>
    </row>
    <row r="2279" spans="20:48">
      <c r="T2279" s="79"/>
      <c r="U2279" s="79"/>
      <c r="AT2279" t="s">
        <v>1515</v>
      </c>
      <c r="AU2279" s="93">
        <v>2262</v>
      </c>
      <c r="AV2279" t="s">
        <v>111</v>
      </c>
    </row>
    <row r="2280" spans="20:48">
      <c r="T2280" s="79"/>
      <c r="U2280" s="79"/>
      <c r="AT2280" t="s">
        <v>1516</v>
      </c>
      <c r="AU2280" s="93">
        <v>2263</v>
      </c>
      <c r="AV2280" t="s">
        <v>1479</v>
      </c>
    </row>
    <row r="2281" spans="20:48">
      <c r="T2281" s="79"/>
      <c r="U2281" s="79"/>
      <c r="AT2281" t="s">
        <v>1517</v>
      </c>
      <c r="AU2281" s="93">
        <v>2264</v>
      </c>
      <c r="AV2281" t="s">
        <v>120</v>
      </c>
    </row>
    <row r="2282" spans="20:48">
      <c r="T2282" s="79"/>
      <c r="U2282" s="79"/>
      <c r="AT2282" t="s">
        <v>1518</v>
      </c>
      <c r="AU2282" s="93">
        <v>2265</v>
      </c>
      <c r="AV2282" t="s">
        <v>123</v>
      </c>
    </row>
    <row r="2283" spans="20:48">
      <c r="T2283" s="79"/>
      <c r="U2283" s="79"/>
      <c r="AT2283" t="s">
        <v>1519</v>
      </c>
      <c r="AU2283" s="93">
        <v>2266</v>
      </c>
      <c r="AV2283" t="s">
        <v>1520</v>
      </c>
    </row>
    <row r="2284" spans="20:48">
      <c r="T2284" s="79"/>
      <c r="U2284" s="79"/>
      <c r="AT2284" t="s">
        <v>1521</v>
      </c>
      <c r="AU2284" s="93">
        <v>2267</v>
      </c>
      <c r="AV2284" t="s">
        <v>132</v>
      </c>
    </row>
    <row r="2285" spans="20:48">
      <c r="T2285" s="79"/>
      <c r="U2285" s="79"/>
      <c r="AT2285" t="s">
        <v>1522</v>
      </c>
      <c r="AU2285" s="93">
        <v>2268</v>
      </c>
      <c r="AV2285" t="s">
        <v>118</v>
      </c>
    </row>
    <row r="2286" spans="20:48">
      <c r="T2286" s="79"/>
      <c r="U2286" s="79"/>
      <c r="AT2286" t="s">
        <v>1523</v>
      </c>
      <c r="AU2286" s="93">
        <v>2269</v>
      </c>
      <c r="AV2286" t="s">
        <v>117</v>
      </c>
    </row>
    <row r="2287" spans="20:48">
      <c r="T2287" s="79"/>
      <c r="U2287" s="79"/>
      <c r="AT2287" t="s">
        <v>1524</v>
      </c>
      <c r="AU2287" s="93">
        <v>2270</v>
      </c>
      <c r="AV2287" t="s">
        <v>123</v>
      </c>
    </row>
    <row r="2288" spans="20:48">
      <c r="T2288" s="79"/>
      <c r="U2288" s="79"/>
      <c r="AT2288" t="s">
        <v>1525</v>
      </c>
      <c r="AU2288" s="93">
        <v>2271</v>
      </c>
      <c r="AV2288" t="s">
        <v>123</v>
      </c>
    </row>
    <row r="2289" spans="20:48">
      <c r="T2289" s="79"/>
      <c r="U2289" s="79"/>
      <c r="AT2289" t="s">
        <v>1526</v>
      </c>
      <c r="AU2289" s="93">
        <v>2272</v>
      </c>
      <c r="AV2289" t="s">
        <v>113</v>
      </c>
    </row>
    <row r="2290" spans="20:48">
      <c r="T2290" s="79"/>
      <c r="U2290" s="79"/>
      <c r="AT2290" t="s">
        <v>1527</v>
      </c>
      <c r="AU2290" s="93">
        <v>2273</v>
      </c>
      <c r="AV2290" t="s">
        <v>127</v>
      </c>
    </row>
    <row r="2291" spans="20:48">
      <c r="T2291" s="79"/>
      <c r="U2291" s="79"/>
      <c r="AT2291" t="s">
        <v>1528</v>
      </c>
      <c r="AU2291" s="93">
        <v>2274</v>
      </c>
      <c r="AV2291" t="s">
        <v>127</v>
      </c>
    </row>
    <row r="2292" spans="20:48">
      <c r="T2292" s="79"/>
      <c r="U2292" s="79"/>
      <c r="AT2292" t="s">
        <v>1529</v>
      </c>
      <c r="AU2292" s="93">
        <v>2275</v>
      </c>
      <c r="AV2292" t="s">
        <v>127</v>
      </c>
    </row>
    <row r="2293" spans="20:48">
      <c r="T2293" s="79"/>
      <c r="U2293" s="79"/>
      <c r="AT2293" t="s">
        <v>1530</v>
      </c>
      <c r="AU2293" s="93">
        <v>2276</v>
      </c>
      <c r="AV2293" t="s">
        <v>117</v>
      </c>
    </row>
    <row r="2294" spans="20:48">
      <c r="T2294" s="79"/>
      <c r="U2294" s="79"/>
      <c r="AT2294" t="s">
        <v>1531</v>
      </c>
      <c r="AU2294" s="93">
        <v>2277</v>
      </c>
      <c r="AV2294" t="s">
        <v>117</v>
      </c>
    </row>
    <row r="2295" spans="20:48">
      <c r="T2295" s="79"/>
      <c r="U2295" s="79"/>
      <c r="AT2295" t="s">
        <v>1532</v>
      </c>
      <c r="AU2295" s="93">
        <v>2278</v>
      </c>
      <c r="AV2295" t="s">
        <v>123</v>
      </c>
    </row>
    <row r="2296" spans="20:48">
      <c r="T2296" s="79"/>
      <c r="U2296" s="79"/>
      <c r="AT2296" t="s">
        <v>1533</v>
      </c>
      <c r="AU2296" s="93">
        <v>2279</v>
      </c>
      <c r="AV2296" t="s">
        <v>130</v>
      </c>
    </row>
    <row r="2297" spans="20:48">
      <c r="T2297" s="79"/>
      <c r="U2297" s="79"/>
      <c r="AT2297" t="s">
        <v>1534</v>
      </c>
      <c r="AU2297" s="93">
        <v>2280</v>
      </c>
      <c r="AV2297" t="s">
        <v>111</v>
      </c>
    </row>
    <row r="2298" spans="20:48">
      <c r="T2298" s="79"/>
      <c r="U2298" s="79"/>
      <c r="AT2298" t="s">
        <v>1535</v>
      </c>
      <c r="AU2298" s="93">
        <v>2281</v>
      </c>
      <c r="AV2298" t="s">
        <v>114</v>
      </c>
    </row>
    <row r="2299" spans="20:48">
      <c r="T2299" s="79"/>
      <c r="U2299" s="79"/>
      <c r="AT2299" t="s">
        <v>1536</v>
      </c>
      <c r="AU2299" s="93">
        <v>2282</v>
      </c>
      <c r="AV2299" t="s">
        <v>147</v>
      </c>
    </row>
    <row r="2300" spans="20:48">
      <c r="T2300" s="79"/>
      <c r="U2300" s="79"/>
      <c r="AT2300" t="s">
        <v>1537</v>
      </c>
      <c r="AU2300" s="93">
        <v>2283</v>
      </c>
      <c r="AV2300" t="s">
        <v>111</v>
      </c>
    </row>
    <row r="2301" spans="20:48">
      <c r="T2301" s="79"/>
      <c r="U2301" s="79"/>
      <c r="AT2301" t="s">
        <v>1538</v>
      </c>
      <c r="AU2301" s="93">
        <v>2284</v>
      </c>
      <c r="AV2301" t="s">
        <v>111</v>
      </c>
    </row>
    <row r="2302" spans="20:48">
      <c r="T2302" s="79"/>
      <c r="U2302" s="79"/>
      <c r="AT2302" t="s">
        <v>1539</v>
      </c>
      <c r="AU2302" s="93">
        <v>2285</v>
      </c>
      <c r="AV2302" t="s">
        <v>119</v>
      </c>
    </row>
    <row r="2303" spans="20:48">
      <c r="T2303" s="79"/>
      <c r="U2303" s="79"/>
      <c r="AT2303" t="s">
        <v>1540</v>
      </c>
      <c r="AU2303" s="93">
        <v>2286</v>
      </c>
      <c r="AV2303" t="s">
        <v>145</v>
      </c>
    </row>
    <row r="2304" spans="20:48">
      <c r="T2304" s="79"/>
      <c r="U2304" s="79"/>
      <c r="AT2304" t="s">
        <v>1541</v>
      </c>
      <c r="AU2304" s="93">
        <v>2287</v>
      </c>
      <c r="AV2304" t="s">
        <v>145</v>
      </c>
    </row>
    <row r="2305" spans="20:48">
      <c r="T2305" s="79"/>
      <c r="U2305" s="79"/>
      <c r="AT2305" t="s">
        <v>1542</v>
      </c>
      <c r="AU2305" s="93">
        <v>2288</v>
      </c>
      <c r="AV2305" t="s">
        <v>1543</v>
      </c>
    </row>
    <row r="2306" spans="20:48">
      <c r="T2306" s="79"/>
      <c r="U2306" s="79"/>
      <c r="AT2306" t="s">
        <v>1544</v>
      </c>
      <c r="AU2306" s="93">
        <v>2289</v>
      </c>
      <c r="AV2306" t="s">
        <v>762</v>
      </c>
    </row>
    <row r="2307" spans="20:48">
      <c r="T2307" s="79"/>
      <c r="U2307" s="79"/>
      <c r="AT2307" t="s">
        <v>1545</v>
      </c>
      <c r="AU2307" s="93">
        <v>2290</v>
      </c>
      <c r="AV2307" t="s">
        <v>762</v>
      </c>
    </row>
    <row r="2308" spans="20:48">
      <c r="T2308" s="79"/>
      <c r="U2308" s="79"/>
      <c r="AT2308" t="s">
        <v>1546</v>
      </c>
      <c r="AU2308" s="93">
        <v>2291</v>
      </c>
      <c r="AV2308" t="s">
        <v>762</v>
      </c>
    </row>
    <row r="2309" spans="20:48">
      <c r="T2309" s="79"/>
      <c r="U2309" s="79"/>
      <c r="AT2309" t="s">
        <v>1547</v>
      </c>
      <c r="AU2309" s="93">
        <v>2292</v>
      </c>
      <c r="AV2309" t="s">
        <v>120</v>
      </c>
    </row>
    <row r="2310" spans="20:48">
      <c r="T2310" s="79"/>
      <c r="U2310" s="79"/>
      <c r="AT2310" t="s">
        <v>1548</v>
      </c>
      <c r="AU2310" s="93">
        <v>2293</v>
      </c>
      <c r="AV2310" t="s">
        <v>138</v>
      </c>
    </row>
    <row r="2311" spans="20:48">
      <c r="T2311" s="79"/>
      <c r="U2311" s="79"/>
      <c r="AT2311" t="s">
        <v>1549</v>
      </c>
      <c r="AU2311" s="93">
        <v>2294</v>
      </c>
      <c r="AV2311" t="s">
        <v>117</v>
      </c>
    </row>
    <row r="2312" spans="20:48">
      <c r="T2312" s="79"/>
      <c r="U2312" s="79"/>
      <c r="AT2312" t="s">
        <v>1550</v>
      </c>
      <c r="AU2312" s="93">
        <v>2295</v>
      </c>
      <c r="AV2312" t="s">
        <v>148</v>
      </c>
    </row>
    <row r="2313" spans="20:48">
      <c r="T2313" s="79"/>
      <c r="U2313" s="79"/>
      <c r="AT2313" t="s">
        <v>1551</v>
      </c>
      <c r="AU2313" s="93">
        <v>2296</v>
      </c>
      <c r="AV2313" t="s">
        <v>111</v>
      </c>
    </row>
    <row r="2314" spans="20:48">
      <c r="T2314" s="79"/>
      <c r="U2314" s="79"/>
      <c r="AT2314" t="s">
        <v>1552</v>
      </c>
      <c r="AU2314" s="93">
        <v>2297</v>
      </c>
      <c r="AV2314" t="s">
        <v>117</v>
      </c>
    </row>
    <row r="2315" spans="20:48">
      <c r="T2315" s="79"/>
      <c r="U2315" s="79"/>
      <c r="AT2315" t="s">
        <v>1553</v>
      </c>
      <c r="AU2315" s="93">
        <v>2298</v>
      </c>
      <c r="AV2315" t="s">
        <v>117</v>
      </c>
    </row>
    <row r="2316" spans="20:48">
      <c r="T2316" s="79"/>
      <c r="U2316" s="79"/>
      <c r="AT2316" t="s">
        <v>1554</v>
      </c>
      <c r="AU2316" s="93">
        <v>2299</v>
      </c>
      <c r="AV2316" t="s">
        <v>117</v>
      </c>
    </row>
    <row r="2317" spans="20:48">
      <c r="T2317" s="79"/>
      <c r="U2317" s="79"/>
      <c r="AT2317" t="s">
        <v>1555</v>
      </c>
      <c r="AU2317" s="93">
        <v>2300</v>
      </c>
      <c r="AV2317" t="s">
        <v>117</v>
      </c>
    </row>
    <row r="2318" spans="20:48">
      <c r="T2318" s="79"/>
      <c r="U2318" s="79"/>
      <c r="AT2318" t="s">
        <v>1556</v>
      </c>
      <c r="AU2318" s="93">
        <v>2301</v>
      </c>
      <c r="AV2318" t="s">
        <v>117</v>
      </c>
    </row>
    <row r="2319" spans="20:48">
      <c r="T2319" s="79"/>
      <c r="U2319" s="79"/>
      <c r="AT2319" t="s">
        <v>1557</v>
      </c>
      <c r="AU2319" s="93">
        <v>2302</v>
      </c>
      <c r="AV2319" t="s">
        <v>140</v>
      </c>
    </row>
    <row r="2320" spans="20:48">
      <c r="T2320" s="79"/>
      <c r="U2320" s="79"/>
      <c r="AT2320" t="s">
        <v>1558</v>
      </c>
      <c r="AU2320" s="93">
        <v>2303</v>
      </c>
      <c r="AV2320" t="s">
        <v>157</v>
      </c>
    </row>
    <row r="2321" spans="20:48">
      <c r="T2321" s="79"/>
      <c r="U2321" s="79"/>
      <c r="AT2321" t="s">
        <v>1559</v>
      </c>
      <c r="AU2321" s="93">
        <v>2304</v>
      </c>
      <c r="AV2321" t="s">
        <v>156</v>
      </c>
    </row>
    <row r="2322" spans="20:48">
      <c r="T2322" s="79"/>
      <c r="U2322" s="79"/>
      <c r="AT2322" t="s">
        <v>1560</v>
      </c>
      <c r="AU2322" s="93">
        <v>2305</v>
      </c>
      <c r="AV2322" t="s">
        <v>111</v>
      </c>
    </row>
    <row r="2323" spans="20:48">
      <c r="T2323" s="79"/>
      <c r="U2323" s="79"/>
      <c r="AT2323" t="s">
        <v>1561</v>
      </c>
      <c r="AU2323" s="93">
        <v>2306</v>
      </c>
      <c r="AV2323" t="s">
        <v>141</v>
      </c>
    </row>
    <row r="2324" spans="20:48">
      <c r="T2324" s="79"/>
      <c r="U2324" s="79"/>
      <c r="AT2324" t="s">
        <v>1562</v>
      </c>
      <c r="AU2324" s="93">
        <v>2307</v>
      </c>
      <c r="AV2324" t="s">
        <v>141</v>
      </c>
    </row>
    <row r="2325" spans="20:48">
      <c r="T2325" s="79"/>
      <c r="U2325" s="79"/>
      <c r="AT2325" t="s">
        <v>1563</v>
      </c>
      <c r="AU2325" s="93">
        <v>2308</v>
      </c>
      <c r="AV2325" t="s">
        <v>111</v>
      </c>
    </row>
    <row r="2326" spans="20:48">
      <c r="T2326" s="79"/>
      <c r="U2326" s="79"/>
      <c r="AT2326" t="s">
        <v>1564</v>
      </c>
      <c r="AU2326" s="93">
        <v>2309</v>
      </c>
      <c r="AV2326" t="s">
        <v>140</v>
      </c>
    </row>
    <row r="2327" spans="20:48">
      <c r="T2327" s="79"/>
      <c r="U2327" s="79"/>
      <c r="AT2327" t="s">
        <v>1565</v>
      </c>
      <c r="AU2327" s="93">
        <v>2310</v>
      </c>
      <c r="AV2327" t="s">
        <v>140</v>
      </c>
    </row>
    <row r="2328" spans="20:48">
      <c r="T2328" s="79"/>
      <c r="U2328" s="79"/>
      <c r="AT2328" t="s">
        <v>1566</v>
      </c>
      <c r="AU2328" s="93">
        <v>2311</v>
      </c>
      <c r="AV2328" t="s">
        <v>140</v>
      </c>
    </row>
    <row r="2329" spans="20:48">
      <c r="T2329" s="79"/>
      <c r="U2329" s="79"/>
      <c r="AT2329" t="s">
        <v>1567</v>
      </c>
      <c r="AU2329" s="93">
        <v>2312</v>
      </c>
      <c r="AV2329" t="s">
        <v>123</v>
      </c>
    </row>
    <row r="2330" spans="20:48">
      <c r="T2330" s="79"/>
      <c r="U2330" s="79"/>
      <c r="AT2330" t="s">
        <v>1568</v>
      </c>
      <c r="AU2330" s="93">
        <v>2313</v>
      </c>
      <c r="AV2330" t="s">
        <v>111</v>
      </c>
    </row>
    <row r="2331" spans="20:48">
      <c r="T2331" s="79"/>
      <c r="U2331" s="79"/>
      <c r="AT2331" t="s">
        <v>1569</v>
      </c>
      <c r="AU2331" s="93">
        <v>2314</v>
      </c>
      <c r="AV2331" t="s">
        <v>115</v>
      </c>
    </row>
    <row r="2332" spans="20:48">
      <c r="T2332" s="79"/>
      <c r="U2332" s="79"/>
      <c r="AT2332" t="s">
        <v>1570</v>
      </c>
      <c r="AU2332" s="93">
        <v>2315</v>
      </c>
      <c r="AV2332" t="s">
        <v>115</v>
      </c>
    </row>
    <row r="2333" spans="20:48">
      <c r="T2333" s="79"/>
      <c r="U2333" s="79"/>
      <c r="AT2333" t="s">
        <v>1571</v>
      </c>
      <c r="AU2333" s="93">
        <v>2316</v>
      </c>
      <c r="AV2333" t="s">
        <v>115</v>
      </c>
    </row>
    <row r="2334" spans="20:48">
      <c r="T2334" s="79"/>
      <c r="U2334" s="79"/>
      <c r="AT2334" t="s">
        <v>1572</v>
      </c>
      <c r="AU2334" s="93">
        <v>2317</v>
      </c>
      <c r="AV2334" t="s">
        <v>115</v>
      </c>
    </row>
    <row r="2335" spans="20:48">
      <c r="T2335" s="79"/>
      <c r="U2335" s="79"/>
      <c r="AT2335" t="s">
        <v>1573</v>
      </c>
      <c r="AU2335" s="93">
        <v>2318</v>
      </c>
      <c r="AV2335" t="s">
        <v>115</v>
      </c>
    </row>
    <row r="2336" spans="20:48">
      <c r="T2336" s="79"/>
      <c r="U2336" s="79"/>
      <c r="AT2336" t="s">
        <v>1574</v>
      </c>
      <c r="AU2336" s="93">
        <v>2319</v>
      </c>
      <c r="AV2336" t="s">
        <v>139</v>
      </c>
    </row>
    <row r="2337" spans="20:48">
      <c r="T2337" s="79"/>
      <c r="U2337" s="79"/>
      <c r="AT2337" t="s">
        <v>1575</v>
      </c>
      <c r="AU2337" s="93">
        <v>2320</v>
      </c>
      <c r="AV2337" t="s">
        <v>147</v>
      </c>
    </row>
    <row r="2338" spans="20:48">
      <c r="T2338" s="79"/>
      <c r="U2338" s="79"/>
      <c r="AT2338" t="s">
        <v>1576</v>
      </c>
      <c r="AU2338" s="93">
        <v>2321</v>
      </c>
      <c r="AV2338" t="s">
        <v>139</v>
      </c>
    </row>
    <row r="2339" spans="20:48">
      <c r="T2339" s="79"/>
      <c r="U2339" s="79"/>
      <c r="AT2339" t="s">
        <v>1577</v>
      </c>
      <c r="AU2339" s="93">
        <v>2322</v>
      </c>
      <c r="AV2339" t="s">
        <v>115</v>
      </c>
    </row>
    <row r="2340" spans="20:48">
      <c r="T2340" s="79"/>
      <c r="U2340" s="79"/>
      <c r="AT2340" t="s">
        <v>1578</v>
      </c>
      <c r="AU2340" s="93">
        <v>2323</v>
      </c>
      <c r="AV2340" t="s">
        <v>139</v>
      </c>
    </row>
    <row r="2341" spans="20:48">
      <c r="T2341" s="79"/>
      <c r="U2341" s="79"/>
      <c r="AT2341" t="s">
        <v>1579</v>
      </c>
      <c r="AU2341" s="93">
        <v>2324</v>
      </c>
      <c r="AV2341" t="s">
        <v>115</v>
      </c>
    </row>
    <row r="2342" spans="20:48">
      <c r="T2342" s="79"/>
      <c r="U2342" s="79"/>
      <c r="AT2342" t="s">
        <v>1580</v>
      </c>
      <c r="AU2342" s="93">
        <v>2325</v>
      </c>
      <c r="AV2342" t="s">
        <v>123</v>
      </c>
    </row>
    <row r="2343" spans="20:48">
      <c r="T2343" s="79"/>
      <c r="U2343" s="79"/>
      <c r="AT2343" t="s">
        <v>1581</v>
      </c>
      <c r="AU2343" s="93">
        <v>2326</v>
      </c>
      <c r="AV2343" t="s">
        <v>150</v>
      </c>
    </row>
    <row r="2344" spans="20:48">
      <c r="T2344" s="79"/>
      <c r="U2344" s="79"/>
      <c r="AT2344" t="s">
        <v>1582</v>
      </c>
      <c r="AU2344" s="93">
        <v>2327</v>
      </c>
      <c r="AV2344" t="s">
        <v>120</v>
      </c>
    </row>
    <row r="2345" spans="20:48">
      <c r="T2345" s="79"/>
      <c r="U2345" s="79"/>
      <c r="AT2345" t="s">
        <v>1583</v>
      </c>
      <c r="AU2345" s="93">
        <v>2328</v>
      </c>
      <c r="AV2345" t="s">
        <v>120</v>
      </c>
    </row>
    <row r="2346" spans="20:48">
      <c r="T2346" s="79"/>
      <c r="U2346" s="79"/>
      <c r="AT2346" t="s">
        <v>1584</v>
      </c>
      <c r="AU2346" s="93">
        <v>2329</v>
      </c>
      <c r="AV2346" t="s">
        <v>120</v>
      </c>
    </row>
    <row r="2347" spans="20:48">
      <c r="T2347" s="79"/>
      <c r="U2347" s="79"/>
      <c r="AT2347" t="s">
        <v>1585</v>
      </c>
      <c r="AU2347" s="93">
        <v>2330</v>
      </c>
      <c r="AV2347" t="s">
        <v>111</v>
      </c>
    </row>
    <row r="2348" spans="20:48">
      <c r="T2348" s="79"/>
      <c r="U2348" s="79"/>
      <c r="AT2348" t="s">
        <v>1586</v>
      </c>
      <c r="AU2348" s="93">
        <v>2331</v>
      </c>
      <c r="AV2348" t="s">
        <v>136</v>
      </c>
    </row>
    <row r="2349" spans="20:48">
      <c r="T2349" s="79"/>
      <c r="U2349" s="79"/>
      <c r="AT2349" t="s">
        <v>1587</v>
      </c>
      <c r="AU2349" s="93">
        <v>2332</v>
      </c>
      <c r="AV2349" t="s">
        <v>115</v>
      </c>
    </row>
    <row r="2350" spans="20:48">
      <c r="T2350" s="79"/>
      <c r="U2350" s="79"/>
      <c r="AT2350" t="s">
        <v>1588</v>
      </c>
      <c r="AU2350" s="93">
        <v>2333</v>
      </c>
      <c r="AV2350" t="s">
        <v>136</v>
      </c>
    </row>
    <row r="2351" spans="20:48">
      <c r="T2351" s="79"/>
      <c r="U2351" s="79"/>
      <c r="AT2351" t="s">
        <v>1589</v>
      </c>
      <c r="AU2351" s="93">
        <v>2334</v>
      </c>
      <c r="AV2351" t="s">
        <v>115</v>
      </c>
    </row>
    <row r="2352" spans="20:48">
      <c r="T2352" s="79"/>
      <c r="U2352" s="79"/>
      <c r="AT2352" t="s">
        <v>1590</v>
      </c>
      <c r="AU2352" s="93">
        <v>2335</v>
      </c>
      <c r="AV2352" t="s">
        <v>115</v>
      </c>
    </row>
    <row r="2353" spans="20:48">
      <c r="T2353" s="79"/>
      <c r="U2353" s="79"/>
      <c r="AT2353" t="s">
        <v>1591</v>
      </c>
      <c r="AU2353" s="93">
        <v>2336</v>
      </c>
      <c r="AV2353" t="s">
        <v>141</v>
      </c>
    </row>
    <row r="2354" spans="20:48">
      <c r="T2354" s="79"/>
      <c r="U2354" s="79"/>
      <c r="AT2354" t="s">
        <v>1592</v>
      </c>
      <c r="AU2354" s="93">
        <v>2337</v>
      </c>
      <c r="AV2354" t="s">
        <v>141</v>
      </c>
    </row>
    <row r="2355" spans="20:48">
      <c r="T2355" s="79"/>
      <c r="U2355" s="79"/>
      <c r="AT2355" t="s">
        <v>1593</v>
      </c>
      <c r="AU2355" s="93">
        <v>2338</v>
      </c>
      <c r="AV2355" t="s">
        <v>141</v>
      </c>
    </row>
    <row r="2356" spans="20:48">
      <c r="T2356" s="79"/>
      <c r="U2356" s="79"/>
      <c r="AT2356" t="s">
        <v>1594</v>
      </c>
      <c r="AU2356" s="93">
        <v>2339</v>
      </c>
      <c r="AV2356" t="s">
        <v>156</v>
      </c>
    </row>
    <row r="2357" spans="20:48">
      <c r="T2357" s="79"/>
      <c r="U2357" s="79"/>
      <c r="AT2357" t="s">
        <v>1595</v>
      </c>
      <c r="AU2357" s="93">
        <v>2340</v>
      </c>
      <c r="AV2357" t="s">
        <v>156</v>
      </c>
    </row>
    <row r="2358" spans="20:48">
      <c r="T2358" s="79"/>
      <c r="U2358" s="79"/>
      <c r="AT2358" t="s">
        <v>1596</v>
      </c>
      <c r="AU2358" s="93">
        <v>2341</v>
      </c>
      <c r="AV2358" t="s">
        <v>156</v>
      </c>
    </row>
    <row r="2359" spans="20:48">
      <c r="T2359" s="79"/>
      <c r="U2359" s="79"/>
      <c r="AT2359" t="s">
        <v>1597</v>
      </c>
      <c r="AU2359" s="93">
        <v>2342</v>
      </c>
      <c r="AV2359" t="s">
        <v>592</v>
      </c>
    </row>
    <row r="2360" spans="20:48">
      <c r="T2360" s="79"/>
      <c r="U2360" s="79"/>
      <c r="AT2360" t="s">
        <v>1598</v>
      </c>
      <c r="AU2360" s="93">
        <v>2343</v>
      </c>
      <c r="AV2360" t="s">
        <v>118</v>
      </c>
    </row>
    <row r="2361" spans="20:48">
      <c r="T2361" s="79"/>
      <c r="U2361" s="79"/>
      <c r="AT2361" t="s">
        <v>1599</v>
      </c>
      <c r="AU2361" s="93">
        <v>2344</v>
      </c>
      <c r="AV2361" t="s">
        <v>137</v>
      </c>
    </row>
    <row r="2362" spans="20:48">
      <c r="T2362" s="79"/>
      <c r="U2362" s="79"/>
      <c r="AT2362" t="s">
        <v>1600</v>
      </c>
      <c r="AU2362" s="93">
        <v>2345</v>
      </c>
      <c r="AV2362" t="s">
        <v>111</v>
      </c>
    </row>
    <row r="2363" spans="20:48">
      <c r="T2363" s="79"/>
      <c r="U2363" s="79"/>
      <c r="AT2363" t="s">
        <v>1601</v>
      </c>
      <c r="AU2363" s="93">
        <v>2346</v>
      </c>
      <c r="AV2363" t="s">
        <v>111</v>
      </c>
    </row>
    <row r="2364" spans="20:48">
      <c r="T2364" s="79"/>
      <c r="U2364" s="79"/>
      <c r="AT2364" t="s">
        <v>1602</v>
      </c>
      <c r="AU2364" s="93">
        <v>2347</v>
      </c>
      <c r="AV2364" t="s">
        <v>131</v>
      </c>
    </row>
    <row r="2365" spans="20:48">
      <c r="T2365" s="79"/>
      <c r="U2365" s="79"/>
      <c r="AT2365" t="s">
        <v>1603</v>
      </c>
      <c r="AU2365" s="93">
        <v>2348</v>
      </c>
      <c r="AV2365" t="s">
        <v>136</v>
      </c>
    </row>
    <row r="2366" spans="20:48">
      <c r="T2366" s="79"/>
      <c r="U2366" s="79"/>
      <c r="AT2366" t="s">
        <v>1604</v>
      </c>
      <c r="AU2366" s="93">
        <v>2349</v>
      </c>
      <c r="AV2366" t="s">
        <v>136</v>
      </c>
    </row>
    <row r="2367" spans="20:48">
      <c r="T2367" s="79"/>
      <c r="U2367" s="79"/>
      <c r="AT2367" t="s">
        <v>1605</v>
      </c>
      <c r="AU2367" s="93">
        <v>2350</v>
      </c>
      <c r="AV2367" t="s">
        <v>136</v>
      </c>
    </row>
    <row r="2368" spans="20:48">
      <c r="T2368" s="79"/>
      <c r="U2368" s="79"/>
      <c r="AT2368" t="s">
        <v>1606</v>
      </c>
      <c r="AU2368" s="93">
        <v>2351</v>
      </c>
      <c r="AV2368" t="s">
        <v>136</v>
      </c>
    </row>
    <row r="2369" spans="20:48">
      <c r="T2369" s="79"/>
      <c r="U2369" s="79"/>
      <c r="AT2369" t="s">
        <v>1607</v>
      </c>
      <c r="AU2369" s="93">
        <v>2352</v>
      </c>
      <c r="AV2369" t="s">
        <v>136</v>
      </c>
    </row>
    <row r="2370" spans="20:48">
      <c r="T2370" s="79"/>
      <c r="U2370" s="79"/>
      <c r="AT2370" t="s">
        <v>1608</v>
      </c>
      <c r="AU2370" s="93">
        <v>2353</v>
      </c>
      <c r="AV2370" t="s">
        <v>136</v>
      </c>
    </row>
    <row r="2371" spans="20:48">
      <c r="T2371" s="79"/>
      <c r="U2371" s="79"/>
      <c r="AT2371" t="s">
        <v>1609</v>
      </c>
      <c r="AU2371" s="93">
        <v>2354</v>
      </c>
      <c r="AV2371" t="s">
        <v>136</v>
      </c>
    </row>
    <row r="2372" spans="20:48">
      <c r="T2372" s="79"/>
      <c r="U2372" s="79"/>
      <c r="AT2372" t="s">
        <v>1610</v>
      </c>
      <c r="AU2372" s="93">
        <v>2355</v>
      </c>
      <c r="AV2372" t="s">
        <v>136</v>
      </c>
    </row>
    <row r="2373" spans="20:48">
      <c r="T2373" s="79"/>
      <c r="U2373" s="79"/>
      <c r="AT2373" t="s">
        <v>1611</v>
      </c>
      <c r="AU2373" s="93">
        <v>2356</v>
      </c>
      <c r="AV2373" t="s">
        <v>136</v>
      </c>
    </row>
    <row r="2374" spans="20:48">
      <c r="T2374" s="79"/>
      <c r="U2374" s="79"/>
      <c r="AT2374" t="s">
        <v>1612</v>
      </c>
      <c r="AU2374" s="93">
        <v>2357</v>
      </c>
      <c r="AV2374" t="s">
        <v>136</v>
      </c>
    </row>
    <row r="2375" spans="20:48">
      <c r="T2375" s="79"/>
      <c r="U2375" s="79"/>
      <c r="AT2375" t="s">
        <v>1613</v>
      </c>
      <c r="AU2375" s="93">
        <v>2358</v>
      </c>
      <c r="AV2375" t="s">
        <v>120</v>
      </c>
    </row>
    <row r="2376" spans="20:48">
      <c r="T2376" s="79"/>
      <c r="U2376" s="79"/>
      <c r="AT2376" t="s">
        <v>1614</v>
      </c>
      <c r="AU2376" s="93">
        <v>2359</v>
      </c>
      <c r="AV2376" t="s">
        <v>123</v>
      </c>
    </row>
    <row r="2377" spans="20:48">
      <c r="T2377" s="79"/>
      <c r="U2377" s="79"/>
      <c r="AT2377" t="s">
        <v>1615</v>
      </c>
      <c r="AU2377" s="93">
        <v>2360</v>
      </c>
      <c r="AV2377" t="s">
        <v>138</v>
      </c>
    </row>
    <row r="2378" spans="20:48">
      <c r="T2378" s="79"/>
      <c r="U2378" s="79"/>
      <c r="AT2378" t="s">
        <v>1616</v>
      </c>
      <c r="AU2378" s="93">
        <v>2361</v>
      </c>
      <c r="AV2378" t="s">
        <v>129</v>
      </c>
    </row>
    <row r="2379" spans="20:48">
      <c r="T2379" s="79"/>
      <c r="U2379" s="79"/>
      <c r="AT2379" t="s">
        <v>1617</v>
      </c>
      <c r="AU2379" s="93">
        <v>2362</v>
      </c>
      <c r="AV2379" t="s">
        <v>129</v>
      </c>
    </row>
    <row r="2380" spans="20:48">
      <c r="T2380" s="79"/>
      <c r="U2380" s="79"/>
      <c r="AT2380" t="s">
        <v>1618</v>
      </c>
      <c r="AU2380" s="93">
        <v>2363</v>
      </c>
      <c r="AV2380" t="s">
        <v>147</v>
      </c>
    </row>
    <row r="2381" spans="20:48">
      <c r="T2381" s="79"/>
      <c r="U2381" s="79"/>
      <c r="AT2381" t="s">
        <v>1619</v>
      </c>
      <c r="AU2381" s="93">
        <v>2364</v>
      </c>
      <c r="AV2381" t="s">
        <v>138</v>
      </c>
    </row>
    <row r="2382" spans="20:48">
      <c r="T2382" s="79"/>
      <c r="U2382" s="79"/>
      <c r="AT2382" t="s">
        <v>1620</v>
      </c>
      <c r="AU2382" s="93">
        <v>2365</v>
      </c>
      <c r="AV2382" t="s">
        <v>112</v>
      </c>
    </row>
    <row r="2383" spans="20:48">
      <c r="T2383" s="79"/>
      <c r="U2383" s="79"/>
      <c r="AT2383" t="s">
        <v>1621</v>
      </c>
      <c r="AU2383" s="93">
        <v>2366</v>
      </c>
      <c r="AV2383" t="s">
        <v>142</v>
      </c>
    </row>
    <row r="2384" spans="20:48">
      <c r="T2384" s="79"/>
      <c r="U2384" s="79"/>
      <c r="AT2384" t="s">
        <v>1622</v>
      </c>
      <c r="AU2384" s="93">
        <v>2367</v>
      </c>
      <c r="AV2384" t="s">
        <v>115</v>
      </c>
    </row>
    <row r="2385" spans="20:48">
      <c r="T2385" s="79"/>
      <c r="U2385" s="79"/>
      <c r="AT2385" t="s">
        <v>1623</v>
      </c>
      <c r="AU2385" s="93">
        <v>2368</v>
      </c>
      <c r="AV2385" t="s">
        <v>139</v>
      </c>
    </row>
    <row r="2386" spans="20:48">
      <c r="T2386" s="79"/>
      <c r="U2386" s="79"/>
      <c r="AT2386" t="s">
        <v>1624</v>
      </c>
      <c r="AU2386" s="93">
        <v>2369</v>
      </c>
      <c r="AV2386" t="s">
        <v>147</v>
      </c>
    </row>
    <row r="2387" spans="20:48">
      <c r="T2387" s="79"/>
      <c r="U2387" s="79"/>
      <c r="AT2387" t="s">
        <v>1625</v>
      </c>
      <c r="AU2387" s="93">
        <v>2370</v>
      </c>
      <c r="AV2387" t="s">
        <v>140</v>
      </c>
    </row>
    <row r="2388" spans="20:48">
      <c r="T2388" s="79"/>
      <c r="U2388" s="79"/>
      <c r="AT2388" t="s">
        <v>1626</v>
      </c>
      <c r="AU2388" s="93">
        <v>2371</v>
      </c>
      <c r="AV2388" t="s">
        <v>140</v>
      </c>
    </row>
    <row r="2389" spans="20:48">
      <c r="T2389" s="79"/>
      <c r="U2389" s="79"/>
      <c r="AT2389" t="s">
        <v>1627</v>
      </c>
      <c r="AU2389" s="93">
        <v>2372</v>
      </c>
      <c r="AV2389" t="s">
        <v>145</v>
      </c>
    </row>
    <row r="2390" spans="20:48">
      <c r="T2390" s="79"/>
      <c r="U2390" s="79"/>
      <c r="AT2390" t="s">
        <v>1628</v>
      </c>
      <c r="AU2390" s="93">
        <v>2373</v>
      </c>
      <c r="AV2390" t="s">
        <v>134</v>
      </c>
    </row>
    <row r="2391" spans="20:48">
      <c r="T2391" s="79"/>
      <c r="U2391" s="79"/>
      <c r="AT2391" t="s">
        <v>1629</v>
      </c>
      <c r="AU2391" s="93">
        <v>2374</v>
      </c>
      <c r="AV2391" t="s">
        <v>140</v>
      </c>
    </row>
    <row r="2392" spans="20:48">
      <c r="T2392" s="79"/>
      <c r="U2392" s="79"/>
      <c r="AT2392" t="s">
        <v>1630</v>
      </c>
      <c r="AU2392" s="93">
        <v>2375</v>
      </c>
      <c r="AV2392" t="s">
        <v>133</v>
      </c>
    </row>
    <row r="2393" spans="20:48">
      <c r="T2393" s="79"/>
      <c r="U2393" s="79"/>
      <c r="AT2393" t="s">
        <v>1631</v>
      </c>
      <c r="AU2393" s="93">
        <v>2376</v>
      </c>
      <c r="AV2393" t="s">
        <v>133</v>
      </c>
    </row>
    <row r="2394" spans="20:48">
      <c r="T2394" s="79"/>
      <c r="U2394" s="79"/>
      <c r="AT2394" t="s">
        <v>1632</v>
      </c>
      <c r="AU2394" s="93">
        <v>2377</v>
      </c>
      <c r="AV2394" t="s">
        <v>133</v>
      </c>
    </row>
    <row r="2395" spans="20:48">
      <c r="T2395" s="79"/>
      <c r="U2395" s="79"/>
      <c r="AT2395" t="s">
        <v>1633</v>
      </c>
      <c r="AU2395" s="93">
        <v>2378</v>
      </c>
      <c r="AV2395" t="s">
        <v>117</v>
      </c>
    </row>
    <row r="2396" spans="20:48">
      <c r="T2396" s="79"/>
      <c r="U2396" s="79"/>
      <c r="AT2396" t="s">
        <v>1634</v>
      </c>
      <c r="AU2396" s="93">
        <v>2379</v>
      </c>
      <c r="AV2396" t="s">
        <v>156</v>
      </c>
    </row>
    <row r="2397" spans="20:48">
      <c r="T2397" s="79"/>
      <c r="U2397" s="79"/>
      <c r="AT2397" t="s">
        <v>1635</v>
      </c>
      <c r="AU2397" s="93">
        <v>2380</v>
      </c>
      <c r="AV2397" t="s">
        <v>156</v>
      </c>
    </row>
    <row r="2398" spans="20:48">
      <c r="T2398" s="79"/>
      <c r="U2398" s="79"/>
      <c r="AT2398" t="s">
        <v>1636</v>
      </c>
      <c r="AU2398" s="93">
        <v>2381</v>
      </c>
      <c r="AV2398" t="s">
        <v>156</v>
      </c>
    </row>
    <row r="2399" spans="20:48">
      <c r="T2399" s="79"/>
      <c r="U2399" s="79"/>
      <c r="AT2399" t="s">
        <v>1637</v>
      </c>
      <c r="AU2399" s="93">
        <v>2382</v>
      </c>
      <c r="AV2399" t="s">
        <v>115</v>
      </c>
    </row>
    <row r="2400" spans="20:48">
      <c r="T2400" s="79"/>
      <c r="U2400" s="79"/>
      <c r="AT2400" t="s">
        <v>1638</v>
      </c>
      <c r="AU2400" s="93">
        <v>2383</v>
      </c>
      <c r="AV2400" t="s">
        <v>184</v>
      </c>
    </row>
    <row r="2401" spans="20:48">
      <c r="T2401" s="79"/>
      <c r="U2401" s="79"/>
      <c r="AT2401" t="s">
        <v>1639</v>
      </c>
      <c r="AU2401" s="93">
        <v>2384</v>
      </c>
      <c r="AV2401" t="s">
        <v>121</v>
      </c>
    </row>
    <row r="2402" spans="20:48">
      <c r="T2402" s="79"/>
      <c r="U2402" s="79"/>
      <c r="AT2402" t="s">
        <v>1640</v>
      </c>
      <c r="AU2402" s="93">
        <v>2385</v>
      </c>
      <c r="AV2402" t="s">
        <v>121</v>
      </c>
    </row>
    <row r="2403" spans="20:48">
      <c r="T2403" s="79"/>
      <c r="U2403" s="79"/>
      <c r="AT2403" t="s">
        <v>1641</v>
      </c>
      <c r="AU2403" s="93">
        <v>2386</v>
      </c>
      <c r="AV2403" t="s">
        <v>121</v>
      </c>
    </row>
    <row r="2404" spans="20:48">
      <c r="T2404" s="79"/>
      <c r="U2404" s="79"/>
      <c r="AT2404" t="s">
        <v>1642</v>
      </c>
      <c r="AU2404" s="93">
        <v>2387</v>
      </c>
      <c r="AV2404" t="s">
        <v>911</v>
      </c>
    </row>
    <row r="2405" spans="20:48">
      <c r="T2405" s="79"/>
      <c r="U2405" s="79"/>
      <c r="AT2405" t="s">
        <v>1643</v>
      </c>
      <c r="AU2405" s="93">
        <v>2388</v>
      </c>
      <c r="AV2405" t="s">
        <v>114</v>
      </c>
    </row>
    <row r="2406" spans="20:48">
      <c r="T2406" s="79"/>
      <c r="U2406" s="79"/>
      <c r="AT2406" t="s">
        <v>1644</v>
      </c>
      <c r="AU2406" s="93">
        <v>2389</v>
      </c>
      <c r="AV2406" t="s">
        <v>111</v>
      </c>
    </row>
    <row r="2407" spans="20:48">
      <c r="T2407" s="79"/>
      <c r="U2407" s="79"/>
      <c r="AT2407" t="s">
        <v>1645</v>
      </c>
      <c r="AU2407" s="93">
        <v>2390</v>
      </c>
      <c r="AV2407" t="s">
        <v>120</v>
      </c>
    </row>
    <row r="2408" spans="20:48">
      <c r="T2408" s="79"/>
      <c r="U2408" s="79"/>
      <c r="AT2408" t="s">
        <v>1646</v>
      </c>
      <c r="AU2408" s="93">
        <v>2391</v>
      </c>
      <c r="AV2408" t="s">
        <v>117</v>
      </c>
    </row>
    <row r="2409" spans="20:48">
      <c r="T2409" s="79"/>
      <c r="U2409" s="79"/>
      <c r="AT2409" t="s">
        <v>1647</v>
      </c>
      <c r="AU2409" s="93">
        <v>2392</v>
      </c>
      <c r="AV2409" t="s">
        <v>117</v>
      </c>
    </row>
    <row r="2410" spans="20:48">
      <c r="T2410" s="79"/>
      <c r="U2410" s="79"/>
      <c r="AT2410" t="s">
        <v>1648</v>
      </c>
      <c r="AU2410" s="93">
        <v>2393</v>
      </c>
      <c r="AV2410" t="s">
        <v>122</v>
      </c>
    </row>
    <row r="2411" spans="20:48">
      <c r="T2411" s="79"/>
      <c r="U2411" s="79"/>
      <c r="AT2411" t="s">
        <v>1649</v>
      </c>
      <c r="AU2411" s="93">
        <v>2394</v>
      </c>
      <c r="AV2411" t="s">
        <v>123</v>
      </c>
    </row>
    <row r="2412" spans="20:48">
      <c r="T2412" s="79"/>
      <c r="U2412" s="79"/>
      <c r="AT2412" t="s">
        <v>1650</v>
      </c>
      <c r="AU2412" s="93">
        <v>2395</v>
      </c>
      <c r="AV2412" t="s">
        <v>123</v>
      </c>
    </row>
    <row r="2413" spans="20:48">
      <c r="T2413" s="79"/>
      <c r="U2413" s="79"/>
      <c r="AT2413" t="s">
        <v>1651</v>
      </c>
      <c r="AU2413" s="93">
        <v>2396</v>
      </c>
      <c r="AV2413" t="s">
        <v>123</v>
      </c>
    </row>
    <row r="2414" spans="20:48">
      <c r="T2414" s="79"/>
      <c r="U2414" s="79"/>
      <c r="AT2414" t="s">
        <v>1652</v>
      </c>
      <c r="AU2414" s="93">
        <v>2397</v>
      </c>
      <c r="AV2414" t="s">
        <v>137</v>
      </c>
    </row>
    <row r="2415" spans="20:48">
      <c r="T2415" s="79"/>
      <c r="U2415" s="79"/>
      <c r="AT2415" t="s">
        <v>1653</v>
      </c>
      <c r="AU2415" s="93">
        <v>2398</v>
      </c>
      <c r="AV2415" t="s">
        <v>121</v>
      </c>
    </row>
    <row r="2416" spans="20:48">
      <c r="T2416" s="79"/>
      <c r="U2416" s="79"/>
      <c r="AT2416" t="s">
        <v>1654</v>
      </c>
      <c r="AU2416" s="93">
        <v>2399</v>
      </c>
      <c r="AV2416" t="s">
        <v>137</v>
      </c>
    </row>
    <row r="2417" spans="20:48">
      <c r="T2417" s="79"/>
      <c r="U2417" s="79"/>
      <c r="AT2417" t="s">
        <v>1655</v>
      </c>
      <c r="AU2417" s="93">
        <v>2400</v>
      </c>
      <c r="AV2417" t="s">
        <v>137</v>
      </c>
    </row>
    <row r="2418" spans="20:48">
      <c r="T2418" s="79"/>
      <c r="U2418" s="79"/>
      <c r="AT2418" t="s">
        <v>1656</v>
      </c>
      <c r="AU2418" s="93">
        <v>2401</v>
      </c>
      <c r="AV2418" t="s">
        <v>115</v>
      </c>
    </row>
    <row r="2419" spans="20:48">
      <c r="T2419" s="79"/>
      <c r="U2419" s="79"/>
      <c r="AT2419" t="s">
        <v>1657</v>
      </c>
      <c r="AU2419" s="93">
        <v>2402</v>
      </c>
      <c r="AV2419" t="s">
        <v>132</v>
      </c>
    </row>
    <row r="2420" spans="20:48">
      <c r="T2420" s="79"/>
      <c r="U2420" s="79"/>
      <c r="AT2420" t="s">
        <v>1658</v>
      </c>
      <c r="AU2420" s="93">
        <v>2403</v>
      </c>
      <c r="AV2420" t="s">
        <v>132</v>
      </c>
    </row>
    <row r="2421" spans="20:48">
      <c r="T2421" s="79"/>
      <c r="U2421" s="79"/>
      <c r="AT2421" t="s">
        <v>1659</v>
      </c>
      <c r="AU2421" s="93">
        <v>2404</v>
      </c>
      <c r="AV2421" t="s">
        <v>132</v>
      </c>
    </row>
    <row r="2422" spans="20:48">
      <c r="T2422" s="79"/>
      <c r="U2422" s="79"/>
      <c r="AT2422" t="s">
        <v>1660</v>
      </c>
      <c r="AU2422" s="93">
        <v>2405</v>
      </c>
      <c r="AV2422" t="s">
        <v>133</v>
      </c>
    </row>
    <row r="2423" spans="20:48">
      <c r="T2423" s="79"/>
      <c r="U2423" s="79"/>
      <c r="AT2423" t="s">
        <v>1661</v>
      </c>
      <c r="AU2423" s="93">
        <v>2406</v>
      </c>
      <c r="AV2423" t="s">
        <v>114</v>
      </c>
    </row>
    <row r="2424" spans="20:48">
      <c r="T2424" s="79"/>
      <c r="U2424" s="79"/>
      <c r="AT2424" t="s">
        <v>1662</v>
      </c>
      <c r="AU2424" s="93">
        <v>2407</v>
      </c>
      <c r="AV2424" t="s">
        <v>111</v>
      </c>
    </row>
    <row r="2425" spans="20:48">
      <c r="T2425" s="79"/>
      <c r="U2425" s="79"/>
      <c r="AT2425" t="s">
        <v>1663</v>
      </c>
      <c r="AU2425" s="93">
        <v>2408</v>
      </c>
      <c r="AV2425" t="s">
        <v>154</v>
      </c>
    </row>
    <row r="2426" spans="20:48">
      <c r="T2426" s="79"/>
      <c r="U2426" s="79"/>
      <c r="AT2426" t="s">
        <v>1664</v>
      </c>
      <c r="AU2426" s="93">
        <v>2409</v>
      </c>
      <c r="AV2426" t="s">
        <v>114</v>
      </c>
    </row>
    <row r="2427" spans="20:48">
      <c r="T2427" s="79"/>
      <c r="U2427" s="79"/>
      <c r="AT2427" t="s">
        <v>1665</v>
      </c>
      <c r="AU2427" s="93">
        <v>2410</v>
      </c>
      <c r="AV2427" t="s">
        <v>114</v>
      </c>
    </row>
    <row r="2428" spans="20:48">
      <c r="T2428" s="79"/>
      <c r="U2428" s="79"/>
      <c r="AT2428" t="s">
        <v>1666</v>
      </c>
      <c r="AU2428" s="93">
        <v>2411</v>
      </c>
      <c r="AV2428" t="s">
        <v>114</v>
      </c>
    </row>
    <row r="2429" spans="20:48">
      <c r="T2429" s="79"/>
      <c r="U2429" s="79"/>
      <c r="AT2429" t="s">
        <v>1667</v>
      </c>
      <c r="AU2429" s="93">
        <v>2412</v>
      </c>
      <c r="AV2429" t="s">
        <v>134</v>
      </c>
    </row>
    <row r="2430" spans="20:48">
      <c r="T2430" s="79"/>
      <c r="U2430" s="79"/>
      <c r="AT2430" t="s">
        <v>1668</v>
      </c>
      <c r="AU2430" s="93">
        <v>2413</v>
      </c>
      <c r="AV2430" t="s">
        <v>129</v>
      </c>
    </row>
    <row r="2431" spans="20:48">
      <c r="T2431" s="79"/>
      <c r="U2431" s="79"/>
      <c r="AT2431" t="s">
        <v>1669</v>
      </c>
      <c r="AU2431" s="93">
        <v>2414</v>
      </c>
      <c r="AV2431" t="s">
        <v>134</v>
      </c>
    </row>
    <row r="2432" spans="20:48">
      <c r="T2432" s="79"/>
      <c r="U2432" s="79"/>
      <c r="AT2432" t="s">
        <v>1670</v>
      </c>
      <c r="AU2432" s="93">
        <v>2415</v>
      </c>
      <c r="AV2432" t="s">
        <v>134</v>
      </c>
    </row>
    <row r="2433" spans="20:48">
      <c r="T2433" s="79"/>
      <c r="U2433" s="79"/>
      <c r="AT2433" t="s">
        <v>1671</v>
      </c>
      <c r="AU2433" s="93">
        <v>2416</v>
      </c>
      <c r="AV2433" t="s">
        <v>129</v>
      </c>
    </row>
    <row r="2434" spans="20:48">
      <c r="T2434" s="79"/>
      <c r="U2434" s="79"/>
      <c r="AT2434" t="s">
        <v>1672</v>
      </c>
      <c r="AU2434" s="93">
        <v>2417</v>
      </c>
      <c r="AV2434" t="s">
        <v>134</v>
      </c>
    </row>
    <row r="2435" spans="20:48">
      <c r="T2435" s="79"/>
      <c r="U2435" s="79"/>
      <c r="AT2435" t="s">
        <v>1673</v>
      </c>
      <c r="AU2435" s="93">
        <v>2418</v>
      </c>
      <c r="AV2435" t="s">
        <v>142</v>
      </c>
    </row>
    <row r="2436" spans="20:48">
      <c r="T2436" s="79"/>
      <c r="U2436" s="79"/>
      <c r="AT2436" t="s">
        <v>1674</v>
      </c>
      <c r="AU2436" s="93">
        <v>2419</v>
      </c>
      <c r="AV2436" t="s">
        <v>142</v>
      </c>
    </row>
    <row r="2437" spans="20:48">
      <c r="T2437" s="79"/>
      <c r="U2437" s="79"/>
      <c r="AT2437" t="s">
        <v>1675</v>
      </c>
      <c r="AU2437" s="93">
        <v>2420</v>
      </c>
      <c r="AV2437" t="s">
        <v>132</v>
      </c>
    </row>
    <row r="2438" spans="20:48">
      <c r="T2438" s="79"/>
      <c r="U2438" s="79"/>
      <c r="AT2438" t="s">
        <v>1676</v>
      </c>
      <c r="AU2438" s="93">
        <v>2421</v>
      </c>
      <c r="AV2438" t="s">
        <v>127</v>
      </c>
    </row>
    <row r="2439" spans="20:48">
      <c r="T2439" s="79"/>
      <c r="U2439" s="79"/>
      <c r="AT2439" t="s">
        <v>1677</v>
      </c>
      <c r="AU2439" s="93">
        <v>2422</v>
      </c>
      <c r="AV2439" t="s">
        <v>132</v>
      </c>
    </row>
    <row r="2440" spans="20:48">
      <c r="T2440" s="79"/>
      <c r="U2440" s="79"/>
      <c r="AT2440" t="s">
        <v>1678</v>
      </c>
      <c r="AU2440" s="93">
        <v>2423</v>
      </c>
      <c r="AV2440" t="s">
        <v>132</v>
      </c>
    </row>
    <row r="2441" spans="20:48">
      <c r="T2441" s="79"/>
      <c r="U2441" s="79"/>
      <c r="AT2441" t="s">
        <v>1679</v>
      </c>
      <c r="AU2441" s="93">
        <v>2424</v>
      </c>
      <c r="AV2441" t="s">
        <v>132</v>
      </c>
    </row>
    <row r="2442" spans="20:48">
      <c r="T2442" s="79"/>
      <c r="U2442" s="79"/>
      <c r="AT2442" t="s">
        <v>1680</v>
      </c>
      <c r="AU2442" s="93">
        <v>2425</v>
      </c>
      <c r="AV2442" t="s">
        <v>132</v>
      </c>
    </row>
    <row r="2443" spans="20:48">
      <c r="T2443" s="79"/>
      <c r="U2443" s="79"/>
      <c r="AT2443" t="s">
        <v>1681</v>
      </c>
      <c r="AU2443" s="93">
        <v>2426</v>
      </c>
      <c r="AV2443" t="s">
        <v>132</v>
      </c>
    </row>
    <row r="2444" spans="20:48">
      <c r="T2444" s="79"/>
      <c r="U2444" s="79"/>
      <c r="AT2444" t="s">
        <v>1682</v>
      </c>
      <c r="AU2444" s="93">
        <v>2427</v>
      </c>
      <c r="AV2444" t="s">
        <v>132</v>
      </c>
    </row>
    <row r="2445" spans="20:48">
      <c r="T2445" s="79"/>
      <c r="U2445" s="79"/>
      <c r="AT2445" t="s">
        <v>1683</v>
      </c>
      <c r="AU2445" s="93">
        <v>2428</v>
      </c>
      <c r="AV2445" t="s">
        <v>132</v>
      </c>
    </row>
    <row r="2446" spans="20:48">
      <c r="T2446" s="79"/>
      <c r="U2446" s="79"/>
      <c r="AT2446" t="s">
        <v>1684</v>
      </c>
      <c r="AU2446" s="93">
        <v>2429</v>
      </c>
      <c r="AV2446" t="s">
        <v>132</v>
      </c>
    </row>
    <row r="2447" spans="20:48">
      <c r="T2447" s="79"/>
      <c r="U2447" s="79"/>
      <c r="AT2447" t="s">
        <v>1685</v>
      </c>
      <c r="AU2447" s="93">
        <v>2430</v>
      </c>
      <c r="AV2447" t="s">
        <v>132</v>
      </c>
    </row>
    <row r="2448" spans="20:48">
      <c r="T2448" s="79"/>
      <c r="U2448" s="79"/>
      <c r="AT2448" t="s">
        <v>1686</v>
      </c>
      <c r="AU2448" s="93">
        <v>2431</v>
      </c>
      <c r="AV2448" t="s">
        <v>132</v>
      </c>
    </row>
    <row r="2449" spans="20:48">
      <c r="T2449" s="79"/>
      <c r="U2449" s="79"/>
      <c r="AT2449" t="s">
        <v>1687</v>
      </c>
      <c r="AU2449" s="93">
        <v>2432</v>
      </c>
      <c r="AV2449" t="s">
        <v>134</v>
      </c>
    </row>
    <row r="2450" spans="20:48">
      <c r="T2450" s="79"/>
      <c r="U2450" s="79"/>
      <c r="AT2450" t="s">
        <v>1688</v>
      </c>
      <c r="AU2450" s="93">
        <v>2433</v>
      </c>
      <c r="AV2450" t="s">
        <v>132</v>
      </c>
    </row>
    <row r="2451" spans="20:48">
      <c r="T2451" s="79"/>
      <c r="U2451" s="79"/>
      <c r="AT2451" t="s">
        <v>1689</v>
      </c>
      <c r="AU2451" s="93">
        <v>2434</v>
      </c>
      <c r="AV2451" t="s">
        <v>127</v>
      </c>
    </row>
    <row r="2452" spans="20:48">
      <c r="T2452" s="79"/>
      <c r="U2452" s="79"/>
      <c r="AT2452" t="s">
        <v>1690</v>
      </c>
      <c r="AU2452" s="93">
        <v>2435</v>
      </c>
      <c r="AV2452" t="s">
        <v>132</v>
      </c>
    </row>
    <row r="2453" spans="20:48">
      <c r="T2453" s="79"/>
      <c r="U2453" s="79"/>
      <c r="AT2453" t="s">
        <v>1691</v>
      </c>
      <c r="AU2453" s="93">
        <v>2436</v>
      </c>
      <c r="AV2453" t="s">
        <v>132</v>
      </c>
    </row>
    <row r="2454" spans="20:48">
      <c r="T2454" s="79"/>
      <c r="U2454" s="79"/>
      <c r="AT2454" t="s">
        <v>1692</v>
      </c>
      <c r="AU2454" s="93">
        <v>2437</v>
      </c>
      <c r="AV2454" t="s">
        <v>127</v>
      </c>
    </row>
    <row r="2455" spans="20:48">
      <c r="T2455" s="79"/>
      <c r="U2455" s="79"/>
      <c r="AT2455" t="s">
        <v>1693</v>
      </c>
      <c r="AU2455" s="93">
        <v>2438</v>
      </c>
      <c r="AV2455" t="s">
        <v>114</v>
      </c>
    </row>
    <row r="2456" spans="20:48">
      <c r="T2456" s="79"/>
      <c r="U2456" s="79"/>
      <c r="AT2456" t="s">
        <v>1694</v>
      </c>
      <c r="AU2456" s="93">
        <v>2439</v>
      </c>
      <c r="AV2456" t="s">
        <v>127</v>
      </c>
    </row>
    <row r="2457" spans="20:48">
      <c r="T2457" s="79"/>
      <c r="U2457" s="79"/>
      <c r="AT2457" t="s">
        <v>1695</v>
      </c>
      <c r="AU2457" s="93">
        <v>2440</v>
      </c>
      <c r="AV2457" t="s">
        <v>132</v>
      </c>
    </row>
    <row r="2458" spans="20:48">
      <c r="T2458" s="79"/>
      <c r="U2458" s="79"/>
      <c r="AT2458" t="s">
        <v>1696</v>
      </c>
      <c r="AU2458" s="93">
        <v>2441</v>
      </c>
      <c r="AV2458" t="s">
        <v>138</v>
      </c>
    </row>
    <row r="2459" spans="20:48">
      <c r="T2459" s="79"/>
      <c r="U2459" s="79"/>
      <c r="AT2459" t="s">
        <v>1697</v>
      </c>
      <c r="AU2459" s="93">
        <v>2442</v>
      </c>
      <c r="AV2459" t="s">
        <v>142</v>
      </c>
    </row>
    <row r="2460" spans="20:48">
      <c r="T2460" s="79"/>
      <c r="U2460" s="79"/>
      <c r="AT2460" t="s">
        <v>1698</v>
      </c>
      <c r="AU2460" s="93">
        <v>2443</v>
      </c>
      <c r="AV2460" t="s">
        <v>129</v>
      </c>
    </row>
    <row r="2461" spans="20:48">
      <c r="T2461" s="79"/>
      <c r="U2461" s="79"/>
      <c r="AT2461" t="s">
        <v>1699</v>
      </c>
      <c r="AU2461" s="93">
        <v>2444</v>
      </c>
      <c r="AV2461" t="s">
        <v>132</v>
      </c>
    </row>
    <row r="2462" spans="20:48">
      <c r="T2462" s="79"/>
      <c r="U2462" s="79"/>
      <c r="AT2462" t="s">
        <v>1700</v>
      </c>
      <c r="AU2462" s="93">
        <v>2445</v>
      </c>
      <c r="AV2462" t="s">
        <v>122</v>
      </c>
    </row>
    <row r="2463" spans="20:48">
      <c r="T2463" s="79"/>
      <c r="U2463" s="79"/>
      <c r="AT2463" t="s">
        <v>1701</v>
      </c>
      <c r="AU2463" s="93">
        <v>2446</v>
      </c>
      <c r="AV2463" t="s">
        <v>127</v>
      </c>
    </row>
    <row r="2464" spans="20:48">
      <c r="T2464" s="79"/>
      <c r="U2464" s="79"/>
      <c r="AT2464" t="s">
        <v>1702</v>
      </c>
      <c r="AU2464" s="93">
        <v>2447</v>
      </c>
      <c r="AV2464" t="s">
        <v>127</v>
      </c>
    </row>
    <row r="2465" spans="20:48">
      <c r="T2465" s="79"/>
      <c r="U2465" s="79"/>
      <c r="AT2465" t="s">
        <v>1703</v>
      </c>
      <c r="AU2465" s="93">
        <v>2448</v>
      </c>
      <c r="AV2465" t="s">
        <v>127</v>
      </c>
    </row>
    <row r="2466" spans="20:48">
      <c r="T2466" s="79"/>
      <c r="U2466" s="79"/>
      <c r="AT2466" t="s">
        <v>1704</v>
      </c>
      <c r="AU2466" s="93">
        <v>2449</v>
      </c>
      <c r="AV2466" t="s">
        <v>127</v>
      </c>
    </row>
    <row r="2467" spans="20:48">
      <c r="T2467" s="79"/>
      <c r="U2467" s="79"/>
      <c r="AT2467" t="s">
        <v>1705</v>
      </c>
      <c r="AU2467" s="93">
        <v>2450</v>
      </c>
      <c r="AV2467" t="s">
        <v>146</v>
      </c>
    </row>
    <row r="2468" spans="20:48">
      <c r="T2468" s="79"/>
      <c r="U2468" s="79"/>
      <c r="AT2468" t="s">
        <v>1706</v>
      </c>
      <c r="AU2468" s="93">
        <v>2451</v>
      </c>
      <c r="AV2468" t="s">
        <v>134</v>
      </c>
    </row>
    <row r="2469" spans="20:48">
      <c r="T2469" s="79"/>
      <c r="U2469" s="79"/>
      <c r="AT2469" t="s">
        <v>1707</v>
      </c>
      <c r="AU2469" s="93">
        <v>2452</v>
      </c>
      <c r="AV2469" t="s">
        <v>129</v>
      </c>
    </row>
    <row r="2470" spans="20:48">
      <c r="T2470" s="79"/>
      <c r="U2470" s="79"/>
      <c r="AT2470" t="s">
        <v>1708</v>
      </c>
      <c r="AU2470" s="93">
        <v>2453</v>
      </c>
      <c r="AV2470" t="s">
        <v>146</v>
      </c>
    </row>
    <row r="2471" spans="20:48">
      <c r="T2471" s="79"/>
      <c r="U2471" s="79"/>
      <c r="AT2471" t="s">
        <v>1709</v>
      </c>
      <c r="AU2471" s="93">
        <v>2454</v>
      </c>
      <c r="AV2471" t="s">
        <v>120</v>
      </c>
    </row>
    <row r="2472" spans="20:48">
      <c r="T2472" s="79"/>
      <c r="U2472" s="79"/>
      <c r="AT2472" t="s">
        <v>1710</v>
      </c>
      <c r="AU2472" s="93">
        <v>2455</v>
      </c>
      <c r="AV2472" t="s">
        <v>146</v>
      </c>
    </row>
    <row r="2473" spans="20:48">
      <c r="T2473" s="79"/>
      <c r="U2473" s="79"/>
      <c r="AT2473" t="s">
        <v>1711</v>
      </c>
      <c r="AU2473" s="93">
        <v>2456</v>
      </c>
      <c r="AV2473" t="s">
        <v>114</v>
      </c>
    </row>
    <row r="2474" spans="20:48">
      <c r="T2474" s="79"/>
      <c r="U2474" s="79"/>
      <c r="AT2474" t="s">
        <v>1712</v>
      </c>
      <c r="AU2474" s="93">
        <v>2457</v>
      </c>
      <c r="AV2474" t="s">
        <v>114</v>
      </c>
    </row>
    <row r="2475" spans="20:48">
      <c r="T2475" s="79"/>
      <c r="U2475" s="79"/>
      <c r="AT2475" t="s">
        <v>1713</v>
      </c>
      <c r="AU2475" s="93">
        <v>2458</v>
      </c>
      <c r="AV2475" t="s">
        <v>138</v>
      </c>
    </row>
    <row r="2476" spans="20:48">
      <c r="T2476" s="79"/>
      <c r="U2476" s="79"/>
      <c r="AT2476" t="s">
        <v>1714</v>
      </c>
      <c r="AU2476" s="93">
        <v>2459</v>
      </c>
      <c r="AV2476" t="s">
        <v>138</v>
      </c>
    </row>
    <row r="2477" spans="20:48">
      <c r="T2477" s="79"/>
      <c r="U2477" s="79"/>
      <c r="AT2477" t="s">
        <v>1715</v>
      </c>
      <c r="AU2477" s="93">
        <v>2460</v>
      </c>
      <c r="AV2477" t="s">
        <v>134</v>
      </c>
    </row>
    <row r="2478" spans="20:48">
      <c r="T2478" s="79"/>
      <c r="U2478" s="79"/>
      <c r="AT2478" t="s">
        <v>1716</v>
      </c>
      <c r="AU2478" s="93">
        <v>2461</v>
      </c>
      <c r="AV2478" t="s">
        <v>154</v>
      </c>
    </row>
    <row r="2479" spans="20:48">
      <c r="T2479" s="79"/>
      <c r="U2479" s="79"/>
      <c r="AT2479" t="s">
        <v>1717</v>
      </c>
      <c r="AU2479" s="93">
        <v>2462</v>
      </c>
      <c r="AV2479" t="s">
        <v>146</v>
      </c>
    </row>
    <row r="2480" spans="20:48">
      <c r="T2480" s="79"/>
      <c r="U2480" s="79"/>
      <c r="AT2480" t="s">
        <v>1718</v>
      </c>
      <c r="AU2480" s="93">
        <v>2463</v>
      </c>
      <c r="AV2480" t="s">
        <v>111</v>
      </c>
    </row>
    <row r="2481" spans="20:48">
      <c r="T2481" s="79"/>
      <c r="U2481" s="79"/>
      <c r="AT2481" t="s">
        <v>1719</v>
      </c>
      <c r="AU2481" s="93">
        <v>2464</v>
      </c>
      <c r="AV2481" t="s">
        <v>127</v>
      </c>
    </row>
    <row r="2482" spans="20:48">
      <c r="T2482" s="79"/>
      <c r="U2482" s="79"/>
      <c r="AT2482" t="s">
        <v>1720</v>
      </c>
      <c r="AU2482" s="93">
        <v>2465</v>
      </c>
      <c r="AV2482" t="s">
        <v>127</v>
      </c>
    </row>
    <row r="2483" spans="20:48">
      <c r="T2483" s="79"/>
      <c r="U2483" s="79"/>
      <c r="AT2483" t="s">
        <v>1721</v>
      </c>
      <c r="AU2483" s="93">
        <v>2466</v>
      </c>
      <c r="AV2483" t="s">
        <v>132</v>
      </c>
    </row>
    <row r="2484" spans="20:48">
      <c r="T2484" s="79"/>
      <c r="U2484" s="79"/>
      <c r="AT2484" t="s">
        <v>1722</v>
      </c>
      <c r="AU2484" s="93">
        <v>2467</v>
      </c>
      <c r="AV2484" t="s">
        <v>132</v>
      </c>
    </row>
    <row r="2485" spans="20:48">
      <c r="T2485" s="79"/>
      <c r="U2485" s="79"/>
      <c r="AT2485" t="s">
        <v>1723</v>
      </c>
      <c r="AU2485" s="93">
        <v>2468</v>
      </c>
      <c r="AV2485" t="s">
        <v>127</v>
      </c>
    </row>
    <row r="2486" spans="20:48">
      <c r="T2486" s="79"/>
      <c r="U2486" s="79"/>
      <c r="AT2486" t="s">
        <v>1724</v>
      </c>
      <c r="AU2486" s="93">
        <v>2469</v>
      </c>
      <c r="AV2486" t="s">
        <v>127</v>
      </c>
    </row>
    <row r="2487" spans="20:48">
      <c r="T2487" s="79"/>
      <c r="U2487" s="79"/>
      <c r="AT2487" t="s">
        <v>1725</v>
      </c>
      <c r="AU2487" s="93">
        <v>2470</v>
      </c>
      <c r="AV2487" t="s">
        <v>127</v>
      </c>
    </row>
    <row r="2488" spans="20:48">
      <c r="T2488" s="79"/>
      <c r="U2488" s="79"/>
      <c r="AT2488" t="s">
        <v>1726</v>
      </c>
      <c r="AU2488" s="93">
        <v>2471</v>
      </c>
      <c r="AV2488" t="s">
        <v>127</v>
      </c>
    </row>
    <row r="2489" spans="20:48">
      <c r="T2489" s="79"/>
      <c r="U2489" s="79"/>
      <c r="AT2489" t="s">
        <v>1727</v>
      </c>
      <c r="AU2489" s="93">
        <v>2472</v>
      </c>
      <c r="AV2489" t="s">
        <v>127</v>
      </c>
    </row>
    <row r="2490" spans="20:48">
      <c r="T2490" s="79"/>
      <c r="U2490" s="79"/>
      <c r="AT2490" t="s">
        <v>1728</v>
      </c>
      <c r="AU2490" s="93">
        <v>2473</v>
      </c>
      <c r="AV2490" t="s">
        <v>127</v>
      </c>
    </row>
    <row r="2491" spans="20:48">
      <c r="T2491" s="79"/>
      <c r="U2491" s="79"/>
      <c r="AT2491" t="s">
        <v>1729</v>
      </c>
      <c r="AU2491" s="93">
        <v>2474</v>
      </c>
      <c r="AV2491" t="s">
        <v>132</v>
      </c>
    </row>
    <row r="2492" spans="20:48">
      <c r="T2492" s="79"/>
      <c r="U2492" s="79"/>
      <c r="AT2492" t="s">
        <v>1730</v>
      </c>
      <c r="AU2492" s="93">
        <v>2475</v>
      </c>
      <c r="AV2492" t="s">
        <v>127</v>
      </c>
    </row>
    <row r="2493" spans="20:48">
      <c r="T2493" s="79"/>
      <c r="U2493" s="79"/>
      <c r="AT2493" t="s">
        <v>1731</v>
      </c>
      <c r="AU2493" s="93">
        <v>2476</v>
      </c>
      <c r="AV2493" t="s">
        <v>127</v>
      </c>
    </row>
    <row r="2494" spans="20:48">
      <c r="T2494" s="79"/>
      <c r="U2494" s="79"/>
      <c r="AT2494" t="s">
        <v>1732</v>
      </c>
      <c r="AU2494" s="93">
        <v>2477</v>
      </c>
      <c r="AV2494" t="s">
        <v>127</v>
      </c>
    </row>
    <row r="2495" spans="20:48">
      <c r="T2495" s="79"/>
      <c r="U2495" s="79"/>
      <c r="AT2495" t="s">
        <v>1733</v>
      </c>
      <c r="AU2495" s="93">
        <v>2478</v>
      </c>
      <c r="AV2495" t="s">
        <v>132</v>
      </c>
    </row>
    <row r="2496" spans="20:48">
      <c r="T2496" s="79"/>
      <c r="U2496" s="79"/>
      <c r="AT2496" t="s">
        <v>1734</v>
      </c>
      <c r="AU2496" s="93">
        <v>2479</v>
      </c>
      <c r="AV2496" t="s">
        <v>129</v>
      </c>
    </row>
    <row r="2497" spans="20:48">
      <c r="T2497" s="79"/>
      <c r="U2497" s="79"/>
      <c r="AT2497" t="s">
        <v>1735</v>
      </c>
      <c r="AU2497" s="93">
        <v>2480</v>
      </c>
      <c r="AV2497" t="s">
        <v>114</v>
      </c>
    </row>
    <row r="2498" spans="20:48">
      <c r="T2498" s="79"/>
      <c r="U2498" s="79"/>
      <c r="AT2498" t="s">
        <v>1736</v>
      </c>
      <c r="AU2498" s="93">
        <v>2481</v>
      </c>
      <c r="AV2498" t="s">
        <v>134</v>
      </c>
    </row>
    <row r="2499" spans="20:48">
      <c r="T2499" s="79"/>
      <c r="U2499" s="79"/>
      <c r="AT2499" t="s">
        <v>1737</v>
      </c>
      <c r="AU2499" s="93">
        <v>2482</v>
      </c>
      <c r="AV2499" t="s">
        <v>132</v>
      </c>
    </row>
    <row r="2500" spans="20:48">
      <c r="T2500" s="79"/>
      <c r="U2500" s="79"/>
      <c r="AT2500" t="s">
        <v>1738</v>
      </c>
      <c r="AU2500" s="93">
        <v>2483</v>
      </c>
      <c r="AV2500" t="s">
        <v>127</v>
      </c>
    </row>
    <row r="2501" spans="20:48">
      <c r="T2501" s="79"/>
      <c r="U2501" s="79"/>
      <c r="AT2501" t="s">
        <v>1739</v>
      </c>
      <c r="AU2501" s="93">
        <v>2484</v>
      </c>
      <c r="AV2501" t="s">
        <v>132</v>
      </c>
    </row>
    <row r="2502" spans="20:48">
      <c r="T2502" s="79"/>
      <c r="U2502" s="79"/>
      <c r="AT2502" t="s">
        <v>1740</v>
      </c>
      <c r="AU2502" s="93">
        <v>2485</v>
      </c>
      <c r="AV2502" t="s">
        <v>127</v>
      </c>
    </row>
    <row r="2503" spans="20:48">
      <c r="T2503" s="79"/>
      <c r="U2503" s="79"/>
      <c r="AT2503" t="s">
        <v>1741</v>
      </c>
      <c r="AU2503" s="93">
        <v>2486</v>
      </c>
      <c r="AV2503" t="s">
        <v>132</v>
      </c>
    </row>
    <row r="2504" spans="20:48">
      <c r="T2504" s="79"/>
      <c r="U2504" s="79"/>
      <c r="AT2504" t="s">
        <v>1742</v>
      </c>
      <c r="AU2504" s="93">
        <v>2487</v>
      </c>
      <c r="AV2504" t="s">
        <v>127</v>
      </c>
    </row>
    <row r="2505" spans="20:48">
      <c r="T2505" s="79"/>
      <c r="U2505" s="79"/>
      <c r="AT2505" t="s">
        <v>1743</v>
      </c>
      <c r="AU2505" s="93">
        <v>2488</v>
      </c>
      <c r="AV2505" t="s">
        <v>133</v>
      </c>
    </row>
    <row r="2506" spans="20:48">
      <c r="T2506" s="79"/>
      <c r="U2506" s="79"/>
      <c r="AT2506" t="s">
        <v>1744</v>
      </c>
      <c r="AU2506" s="93">
        <v>2489</v>
      </c>
      <c r="AV2506" t="s">
        <v>133</v>
      </c>
    </row>
    <row r="2507" spans="20:48">
      <c r="T2507" s="79"/>
      <c r="U2507" s="79"/>
      <c r="AT2507" t="s">
        <v>1745</v>
      </c>
      <c r="AU2507" s="93">
        <v>2490</v>
      </c>
      <c r="AV2507" t="s">
        <v>133</v>
      </c>
    </row>
    <row r="2508" spans="20:48">
      <c r="T2508" s="79"/>
      <c r="U2508" s="79"/>
      <c r="AT2508" t="s">
        <v>1746</v>
      </c>
      <c r="AU2508" s="93">
        <v>2491</v>
      </c>
      <c r="AV2508" t="s">
        <v>133</v>
      </c>
    </row>
    <row r="2509" spans="20:48">
      <c r="T2509" s="79"/>
      <c r="U2509" s="79"/>
      <c r="AT2509" t="s">
        <v>1747</v>
      </c>
      <c r="AU2509" s="93">
        <v>2492</v>
      </c>
      <c r="AV2509" t="s">
        <v>133</v>
      </c>
    </row>
    <row r="2510" spans="20:48">
      <c r="T2510" s="79"/>
      <c r="U2510" s="79"/>
      <c r="AT2510" t="s">
        <v>1748</v>
      </c>
      <c r="AU2510" s="93">
        <v>2493</v>
      </c>
      <c r="AV2510" t="s">
        <v>133</v>
      </c>
    </row>
    <row r="2511" spans="20:48">
      <c r="T2511" s="79"/>
      <c r="U2511" s="79"/>
      <c r="AT2511" t="s">
        <v>1749</v>
      </c>
      <c r="AU2511" s="93">
        <v>2494</v>
      </c>
      <c r="AV2511" t="s">
        <v>133</v>
      </c>
    </row>
    <row r="2512" spans="20:48">
      <c r="T2512" s="79"/>
      <c r="U2512" s="79"/>
      <c r="AT2512" t="s">
        <v>1750</v>
      </c>
      <c r="AU2512" s="93">
        <v>2495</v>
      </c>
      <c r="AV2512" t="s">
        <v>123</v>
      </c>
    </row>
    <row r="2513" spans="20:48">
      <c r="T2513" s="79"/>
      <c r="U2513" s="79"/>
      <c r="AT2513" t="s">
        <v>1751</v>
      </c>
      <c r="AU2513" s="93">
        <v>2496</v>
      </c>
      <c r="AV2513" t="s">
        <v>123</v>
      </c>
    </row>
    <row r="2514" spans="20:48">
      <c r="T2514" s="79"/>
      <c r="U2514" s="79"/>
      <c r="AT2514" t="s">
        <v>1752</v>
      </c>
      <c r="AU2514" s="93">
        <v>2497</v>
      </c>
      <c r="AV2514" t="s">
        <v>123</v>
      </c>
    </row>
    <row r="2515" spans="20:48">
      <c r="T2515" s="79"/>
      <c r="U2515" s="79"/>
      <c r="AT2515" t="s">
        <v>1753</v>
      </c>
      <c r="AU2515" s="93">
        <v>2498</v>
      </c>
      <c r="AV2515" t="s">
        <v>123</v>
      </c>
    </row>
    <row r="2516" spans="20:48">
      <c r="T2516" s="79"/>
      <c r="U2516" s="79"/>
      <c r="AT2516" t="s">
        <v>1754</v>
      </c>
      <c r="AU2516" s="93">
        <v>2499</v>
      </c>
      <c r="AV2516" t="s">
        <v>127</v>
      </c>
    </row>
    <row r="2517" spans="20:48">
      <c r="T2517" s="79"/>
      <c r="U2517" s="79"/>
      <c r="AT2517" t="s">
        <v>1755</v>
      </c>
      <c r="AU2517" s="93">
        <v>2500</v>
      </c>
      <c r="AV2517" t="s">
        <v>129</v>
      </c>
    </row>
    <row r="2518" spans="20:48">
      <c r="T2518" s="79"/>
      <c r="U2518" s="79"/>
      <c r="AT2518" t="s">
        <v>1756</v>
      </c>
      <c r="AU2518" s="93">
        <v>2501</v>
      </c>
      <c r="AV2518" t="s">
        <v>129</v>
      </c>
    </row>
    <row r="2519" spans="20:48">
      <c r="T2519" s="79"/>
      <c r="U2519" s="79"/>
      <c r="AT2519" t="s">
        <v>1757</v>
      </c>
      <c r="AU2519" s="93">
        <v>2502</v>
      </c>
      <c r="AV2519" t="s">
        <v>133</v>
      </c>
    </row>
    <row r="2520" spans="20:48">
      <c r="T2520" s="79"/>
      <c r="U2520" s="79"/>
      <c r="AT2520" t="s">
        <v>1758</v>
      </c>
      <c r="AU2520" s="93">
        <v>2503</v>
      </c>
      <c r="AV2520" t="s">
        <v>133</v>
      </c>
    </row>
    <row r="2521" spans="20:48">
      <c r="T2521" s="79"/>
      <c r="U2521" s="79"/>
      <c r="AT2521" t="s">
        <v>1759</v>
      </c>
      <c r="AU2521" s="93">
        <v>2504</v>
      </c>
      <c r="AV2521" t="s">
        <v>133</v>
      </c>
    </row>
    <row r="2522" spans="20:48">
      <c r="T2522" s="79"/>
      <c r="U2522" s="79"/>
      <c r="AT2522" t="s">
        <v>1760</v>
      </c>
      <c r="AU2522" s="93">
        <v>2505</v>
      </c>
      <c r="AV2522" t="s">
        <v>133</v>
      </c>
    </row>
    <row r="2523" spans="20:48">
      <c r="T2523" s="79"/>
      <c r="U2523" s="79"/>
      <c r="AT2523" t="s">
        <v>1761</v>
      </c>
      <c r="AU2523" s="93">
        <v>2506</v>
      </c>
      <c r="AV2523" t="s">
        <v>133</v>
      </c>
    </row>
    <row r="2524" spans="20:48">
      <c r="T2524" s="79"/>
      <c r="U2524" s="79"/>
      <c r="AT2524" t="s">
        <v>1762</v>
      </c>
      <c r="AU2524" s="93">
        <v>2507</v>
      </c>
      <c r="AV2524" t="s">
        <v>133</v>
      </c>
    </row>
    <row r="2525" spans="20:48">
      <c r="T2525" s="79"/>
      <c r="U2525" s="79"/>
      <c r="AT2525" t="s">
        <v>1763</v>
      </c>
      <c r="AU2525" s="93">
        <v>2508</v>
      </c>
      <c r="AV2525" t="s">
        <v>133</v>
      </c>
    </row>
    <row r="2526" spans="20:48">
      <c r="T2526" s="79"/>
      <c r="U2526" s="79"/>
      <c r="AT2526" t="s">
        <v>1764</v>
      </c>
      <c r="AU2526" s="93">
        <v>2509</v>
      </c>
      <c r="AV2526" t="s">
        <v>133</v>
      </c>
    </row>
    <row r="2527" spans="20:48">
      <c r="T2527" s="79"/>
      <c r="U2527" s="79"/>
      <c r="AT2527" t="s">
        <v>1765</v>
      </c>
      <c r="AU2527" s="93">
        <v>2510</v>
      </c>
      <c r="AV2527" t="s">
        <v>133</v>
      </c>
    </row>
    <row r="2528" spans="20:48">
      <c r="T2528" s="79"/>
      <c r="U2528" s="79"/>
      <c r="AT2528" t="s">
        <v>1766</v>
      </c>
      <c r="AU2528" s="93">
        <v>2511</v>
      </c>
      <c r="AV2528" t="s">
        <v>133</v>
      </c>
    </row>
    <row r="2529" spans="20:48">
      <c r="T2529" s="79"/>
      <c r="U2529" s="79"/>
      <c r="AT2529" t="s">
        <v>1767</v>
      </c>
      <c r="AU2529" s="93">
        <v>2512</v>
      </c>
      <c r="AV2529" t="s">
        <v>133</v>
      </c>
    </row>
    <row r="2530" spans="20:48">
      <c r="T2530" s="79"/>
      <c r="U2530" s="79"/>
      <c r="AT2530" t="s">
        <v>1768</v>
      </c>
      <c r="AU2530" s="93">
        <v>2513</v>
      </c>
      <c r="AV2530" t="s">
        <v>132</v>
      </c>
    </row>
    <row r="2531" spans="20:48">
      <c r="T2531" s="79"/>
      <c r="U2531" s="79"/>
      <c r="AT2531" t="s">
        <v>1769</v>
      </c>
      <c r="AU2531" s="93">
        <v>2514</v>
      </c>
      <c r="AV2531" t="s">
        <v>133</v>
      </c>
    </row>
    <row r="2532" spans="20:48">
      <c r="T2532" s="79"/>
      <c r="U2532" s="79"/>
      <c r="AT2532" t="s">
        <v>1770</v>
      </c>
      <c r="AU2532" s="93">
        <v>2515</v>
      </c>
      <c r="AV2532" t="s">
        <v>133</v>
      </c>
    </row>
    <row r="2533" spans="20:48">
      <c r="T2533" s="79"/>
      <c r="U2533" s="79"/>
      <c r="AT2533" t="s">
        <v>1771</v>
      </c>
      <c r="AU2533" s="93">
        <v>2516</v>
      </c>
      <c r="AV2533" t="s">
        <v>132</v>
      </c>
    </row>
    <row r="2534" spans="20:48">
      <c r="T2534" s="79"/>
      <c r="U2534" s="79"/>
      <c r="AT2534" t="s">
        <v>1772</v>
      </c>
      <c r="AU2534" s="93">
        <v>2517</v>
      </c>
      <c r="AV2534" t="s">
        <v>117</v>
      </c>
    </row>
    <row r="2535" spans="20:48">
      <c r="T2535" s="79"/>
      <c r="U2535" s="79"/>
      <c r="AT2535" t="s">
        <v>1773</v>
      </c>
      <c r="AU2535" s="93">
        <v>2518</v>
      </c>
      <c r="AV2535" t="s">
        <v>134</v>
      </c>
    </row>
    <row r="2536" spans="20:48">
      <c r="T2536" s="79"/>
      <c r="U2536" s="79"/>
      <c r="AT2536" t="s">
        <v>1774</v>
      </c>
      <c r="AU2536" s="93">
        <v>2519</v>
      </c>
      <c r="AV2536" t="s">
        <v>123</v>
      </c>
    </row>
    <row r="2537" spans="20:48">
      <c r="T2537" s="79"/>
      <c r="U2537" s="79"/>
      <c r="AT2537" t="s">
        <v>1775</v>
      </c>
      <c r="AU2537" s="93">
        <v>2520</v>
      </c>
      <c r="AV2537" t="s">
        <v>117</v>
      </c>
    </row>
    <row r="2538" spans="20:48">
      <c r="T2538" s="79"/>
      <c r="U2538" s="79"/>
      <c r="AT2538" t="s">
        <v>1776</v>
      </c>
      <c r="AU2538" s="93">
        <v>2521</v>
      </c>
      <c r="AV2538" t="s">
        <v>136</v>
      </c>
    </row>
    <row r="2539" spans="20:48">
      <c r="T2539" s="79"/>
      <c r="U2539" s="79"/>
      <c r="AT2539" t="s">
        <v>1777</v>
      </c>
      <c r="AU2539" s="93">
        <v>2522</v>
      </c>
      <c r="AV2539" t="s">
        <v>136</v>
      </c>
    </row>
    <row r="2540" spans="20:48">
      <c r="T2540" s="79"/>
      <c r="U2540" s="79"/>
      <c r="AT2540" t="s">
        <v>1778</v>
      </c>
      <c r="AU2540" s="93">
        <v>2523</v>
      </c>
      <c r="AV2540" t="s">
        <v>111</v>
      </c>
    </row>
    <row r="2541" spans="20:48">
      <c r="T2541" s="79"/>
      <c r="U2541" s="79"/>
      <c r="AT2541" t="s">
        <v>1779</v>
      </c>
      <c r="AU2541" s="93">
        <v>2524</v>
      </c>
      <c r="AV2541" t="s">
        <v>111</v>
      </c>
    </row>
    <row r="2542" spans="20:48">
      <c r="T2542" s="79"/>
      <c r="U2542" s="79"/>
      <c r="AT2542" t="s">
        <v>1780</v>
      </c>
      <c r="AU2542" s="93">
        <v>2525</v>
      </c>
      <c r="AV2542" t="s">
        <v>111</v>
      </c>
    </row>
    <row r="2543" spans="20:48">
      <c r="T2543" s="79"/>
      <c r="U2543" s="79"/>
      <c r="AT2543" t="s">
        <v>1781</v>
      </c>
      <c r="AU2543" s="93">
        <v>2526</v>
      </c>
      <c r="AV2543" t="s">
        <v>123</v>
      </c>
    </row>
    <row r="2544" spans="20:48">
      <c r="T2544" s="79"/>
      <c r="U2544" s="79"/>
      <c r="AT2544" t="s">
        <v>1782</v>
      </c>
      <c r="AU2544" s="93">
        <v>2527</v>
      </c>
      <c r="AV2544" t="s">
        <v>123</v>
      </c>
    </row>
    <row r="2545" spans="20:48">
      <c r="T2545" s="79"/>
      <c r="U2545" s="79"/>
      <c r="AT2545" t="s">
        <v>1783</v>
      </c>
      <c r="AU2545" s="93">
        <v>2528</v>
      </c>
      <c r="AV2545" t="s">
        <v>144</v>
      </c>
    </row>
    <row r="2546" spans="20:48">
      <c r="T2546" s="79"/>
      <c r="U2546" s="79"/>
      <c r="AT2546" t="s">
        <v>1784</v>
      </c>
      <c r="AU2546" s="93">
        <v>2529</v>
      </c>
      <c r="AV2546" t="s">
        <v>121</v>
      </c>
    </row>
    <row r="2547" spans="20:48">
      <c r="T2547" s="79"/>
      <c r="U2547" s="79"/>
      <c r="AT2547" t="s">
        <v>1785</v>
      </c>
      <c r="AU2547" s="93">
        <v>2530</v>
      </c>
      <c r="AV2547" t="s">
        <v>114</v>
      </c>
    </row>
    <row r="2548" spans="20:48">
      <c r="T2548" s="79"/>
      <c r="U2548" s="79"/>
      <c r="AT2548" t="s">
        <v>1786</v>
      </c>
      <c r="AU2548" s="93">
        <v>2531</v>
      </c>
      <c r="AV2548" t="s">
        <v>114</v>
      </c>
    </row>
    <row r="2549" spans="20:48">
      <c r="T2549" s="79"/>
      <c r="U2549" s="79"/>
      <c r="AT2549" t="s">
        <v>1787</v>
      </c>
      <c r="AU2549" s="93">
        <v>2532</v>
      </c>
      <c r="AV2549" t="s">
        <v>131</v>
      </c>
    </row>
    <row r="2550" spans="20:48">
      <c r="T2550" s="79"/>
      <c r="U2550" s="79"/>
      <c r="AT2550" t="s">
        <v>1788</v>
      </c>
      <c r="AU2550" s="93">
        <v>2533</v>
      </c>
      <c r="AV2550" t="s">
        <v>131</v>
      </c>
    </row>
    <row r="2551" spans="20:48">
      <c r="T2551" s="79"/>
      <c r="U2551" s="79"/>
      <c r="AT2551" t="s">
        <v>1789</v>
      </c>
      <c r="AU2551" s="93">
        <v>2534</v>
      </c>
      <c r="AV2551" t="s">
        <v>156</v>
      </c>
    </row>
    <row r="2552" spans="20:48">
      <c r="T2552" s="79"/>
      <c r="U2552" s="79"/>
      <c r="AT2552" t="s">
        <v>1790</v>
      </c>
      <c r="AU2552" s="93">
        <v>2535</v>
      </c>
      <c r="AV2552" t="s">
        <v>117</v>
      </c>
    </row>
    <row r="2553" spans="20:48">
      <c r="T2553" s="79"/>
      <c r="U2553" s="79"/>
      <c r="AT2553" t="s">
        <v>1791</v>
      </c>
      <c r="AU2553" s="93">
        <v>2536</v>
      </c>
      <c r="AV2553" t="s">
        <v>156</v>
      </c>
    </row>
    <row r="2554" spans="20:48">
      <c r="T2554" s="79"/>
      <c r="U2554" s="79"/>
      <c r="AT2554" t="s">
        <v>1792</v>
      </c>
      <c r="AU2554" s="93">
        <v>2537</v>
      </c>
      <c r="AV2554" t="s">
        <v>156</v>
      </c>
    </row>
    <row r="2555" spans="20:48">
      <c r="T2555" s="79"/>
      <c r="U2555" s="79"/>
      <c r="AT2555" t="s">
        <v>1793</v>
      </c>
      <c r="AU2555" s="93">
        <v>2538</v>
      </c>
      <c r="AV2555" t="s">
        <v>117</v>
      </c>
    </row>
    <row r="2556" spans="20:48">
      <c r="T2556" s="79"/>
      <c r="U2556" s="79"/>
      <c r="AT2556" t="s">
        <v>1794</v>
      </c>
      <c r="AU2556" s="93">
        <v>2539</v>
      </c>
      <c r="AV2556" t="s">
        <v>114</v>
      </c>
    </row>
    <row r="2557" spans="20:48">
      <c r="T2557" s="79"/>
      <c r="U2557" s="79"/>
      <c r="AT2557" t="s">
        <v>1795</v>
      </c>
      <c r="AU2557" s="93">
        <v>2540</v>
      </c>
      <c r="AV2557" t="s">
        <v>114</v>
      </c>
    </row>
    <row r="2558" spans="20:48">
      <c r="T2558" s="79"/>
      <c r="U2558" s="79"/>
      <c r="AT2558" t="s">
        <v>1796</v>
      </c>
      <c r="AU2558" s="93">
        <v>2541</v>
      </c>
      <c r="AV2558" t="s">
        <v>114</v>
      </c>
    </row>
    <row r="2559" spans="20:48">
      <c r="T2559" s="79"/>
      <c r="U2559" s="79"/>
      <c r="AT2559" t="s">
        <v>1797</v>
      </c>
      <c r="AU2559" s="93">
        <v>2542</v>
      </c>
      <c r="AV2559" t="s">
        <v>131</v>
      </c>
    </row>
    <row r="2560" spans="20:48">
      <c r="T2560" s="79"/>
      <c r="U2560" s="79"/>
      <c r="AT2560" t="s">
        <v>1798</v>
      </c>
      <c r="AU2560" s="93">
        <v>2543</v>
      </c>
      <c r="AV2560" t="s">
        <v>114</v>
      </c>
    </row>
    <row r="2561" spans="20:48">
      <c r="T2561" s="79"/>
      <c r="U2561" s="79"/>
      <c r="AT2561" t="s">
        <v>1799</v>
      </c>
      <c r="AU2561" s="93">
        <v>2544</v>
      </c>
      <c r="AV2561" t="s">
        <v>114</v>
      </c>
    </row>
    <row r="2562" spans="20:48">
      <c r="T2562" s="79"/>
      <c r="U2562" s="79"/>
      <c r="AT2562" t="s">
        <v>1800</v>
      </c>
      <c r="AU2562" s="93">
        <v>2545</v>
      </c>
      <c r="AV2562" t="s">
        <v>114</v>
      </c>
    </row>
    <row r="2563" spans="20:48">
      <c r="T2563" s="79"/>
      <c r="U2563" s="79"/>
      <c r="AT2563" t="s">
        <v>1801</v>
      </c>
      <c r="AU2563" s="93">
        <v>2546</v>
      </c>
      <c r="AV2563" t="s">
        <v>114</v>
      </c>
    </row>
    <row r="2564" spans="20:48">
      <c r="T2564" s="79"/>
      <c r="U2564" s="79"/>
      <c r="AT2564" t="s">
        <v>1802</v>
      </c>
      <c r="AU2564" s="93">
        <v>2547</v>
      </c>
      <c r="AV2564" t="s">
        <v>114</v>
      </c>
    </row>
    <row r="2565" spans="20:48">
      <c r="T2565" s="79"/>
      <c r="U2565" s="79"/>
      <c r="AT2565" t="s">
        <v>1803</v>
      </c>
      <c r="AU2565" s="93">
        <v>2548</v>
      </c>
      <c r="AV2565" t="s">
        <v>114</v>
      </c>
    </row>
    <row r="2566" spans="20:48">
      <c r="T2566" s="79"/>
      <c r="U2566" s="79"/>
      <c r="AT2566" t="s">
        <v>1804</v>
      </c>
      <c r="AU2566" s="93">
        <v>2549</v>
      </c>
      <c r="AV2566" t="s">
        <v>114</v>
      </c>
    </row>
    <row r="2567" spans="20:48">
      <c r="T2567" s="79"/>
      <c r="U2567" s="79"/>
      <c r="AT2567" t="s">
        <v>1805</v>
      </c>
      <c r="AU2567" s="93">
        <v>2550</v>
      </c>
      <c r="AV2567" t="s">
        <v>114</v>
      </c>
    </row>
    <row r="2568" spans="20:48">
      <c r="T2568" s="79"/>
      <c r="U2568" s="79"/>
      <c r="AT2568" t="s">
        <v>1806</v>
      </c>
      <c r="AU2568" s="93">
        <v>2551</v>
      </c>
      <c r="AV2568" t="s">
        <v>1807</v>
      </c>
    </row>
    <row r="2569" spans="20:48">
      <c r="T2569" s="79"/>
      <c r="U2569" s="79"/>
      <c r="AT2569" t="s">
        <v>1808</v>
      </c>
      <c r="AU2569" s="93">
        <v>2552</v>
      </c>
      <c r="AV2569" t="s">
        <v>114</v>
      </c>
    </row>
    <row r="2570" spans="20:48">
      <c r="T2570" s="79"/>
      <c r="U2570" s="79"/>
      <c r="AT2570" t="s">
        <v>1809</v>
      </c>
      <c r="AU2570" s="93">
        <v>2553</v>
      </c>
      <c r="AV2570" t="s">
        <v>114</v>
      </c>
    </row>
    <row r="2571" spans="20:48">
      <c r="T2571" s="79"/>
      <c r="U2571" s="79"/>
      <c r="AT2571" t="s">
        <v>1810</v>
      </c>
      <c r="AU2571" s="93">
        <v>2554</v>
      </c>
      <c r="AV2571" t="s">
        <v>111</v>
      </c>
    </row>
    <row r="2572" spans="20:48">
      <c r="T2572" s="79"/>
      <c r="U2572" s="79"/>
      <c r="AT2572" t="s">
        <v>1811</v>
      </c>
      <c r="AU2572" s="93">
        <v>2555</v>
      </c>
      <c r="AV2572" t="s">
        <v>113</v>
      </c>
    </row>
    <row r="2573" spans="20:48">
      <c r="T2573" s="79"/>
      <c r="U2573" s="79"/>
      <c r="AT2573" t="s">
        <v>1812</v>
      </c>
      <c r="AU2573" s="93">
        <v>2556</v>
      </c>
      <c r="AV2573" t="s">
        <v>113</v>
      </c>
    </row>
    <row r="2574" spans="20:48">
      <c r="T2574" s="79"/>
      <c r="U2574" s="79"/>
      <c r="AT2574" t="s">
        <v>1813</v>
      </c>
      <c r="AU2574" s="93">
        <v>2557</v>
      </c>
      <c r="AV2574" t="s">
        <v>113</v>
      </c>
    </row>
    <row r="2575" spans="20:48">
      <c r="T2575" s="79"/>
      <c r="U2575" s="79"/>
      <c r="AT2575" t="s">
        <v>1814</v>
      </c>
      <c r="AU2575" s="93">
        <v>2558</v>
      </c>
      <c r="AV2575" t="s">
        <v>114</v>
      </c>
    </row>
    <row r="2576" spans="20:48">
      <c r="T2576" s="79"/>
      <c r="U2576" s="79"/>
      <c r="AT2576" t="s">
        <v>1815</v>
      </c>
      <c r="AU2576" s="93">
        <v>2559</v>
      </c>
      <c r="AV2576" t="s">
        <v>118</v>
      </c>
    </row>
    <row r="2577" spans="20:48">
      <c r="T2577" s="79"/>
      <c r="U2577" s="79"/>
      <c r="AT2577" t="s">
        <v>1816</v>
      </c>
      <c r="AU2577" s="93">
        <v>2560</v>
      </c>
      <c r="AV2577" t="s">
        <v>114</v>
      </c>
    </row>
    <row r="2578" spans="20:48">
      <c r="T2578" s="79"/>
      <c r="U2578" s="79"/>
      <c r="AT2578" t="s">
        <v>1817</v>
      </c>
      <c r="AU2578" s="93">
        <v>2561</v>
      </c>
      <c r="AV2578" t="s">
        <v>114</v>
      </c>
    </row>
    <row r="2579" spans="20:48">
      <c r="T2579" s="79"/>
      <c r="U2579" s="79"/>
      <c r="AT2579" t="s">
        <v>1818</v>
      </c>
      <c r="AU2579" s="93">
        <v>2562</v>
      </c>
      <c r="AV2579" t="s">
        <v>114</v>
      </c>
    </row>
    <row r="2580" spans="20:48">
      <c r="T2580" s="79"/>
      <c r="U2580" s="79"/>
      <c r="AT2580" t="s">
        <v>1819</v>
      </c>
      <c r="AU2580" s="93">
        <v>2563</v>
      </c>
      <c r="AV2580" t="s">
        <v>131</v>
      </c>
    </row>
    <row r="2581" spans="20:48">
      <c r="T2581" s="79"/>
      <c r="U2581" s="79"/>
      <c r="AT2581" t="s">
        <v>1820</v>
      </c>
      <c r="AU2581" s="93">
        <v>2564</v>
      </c>
      <c r="AV2581" t="s">
        <v>114</v>
      </c>
    </row>
    <row r="2582" spans="20:48">
      <c r="T2582" s="79"/>
      <c r="U2582" s="79"/>
      <c r="AT2582" t="s">
        <v>1821</v>
      </c>
      <c r="AU2582" s="93">
        <v>2565</v>
      </c>
      <c r="AV2582" t="s">
        <v>114</v>
      </c>
    </row>
    <row r="2583" spans="20:48">
      <c r="T2583" s="79"/>
      <c r="U2583" s="79"/>
      <c r="AT2583" t="s">
        <v>1822</v>
      </c>
      <c r="AU2583" s="93">
        <v>2566</v>
      </c>
      <c r="AV2583" t="s">
        <v>158</v>
      </c>
    </row>
    <row r="2584" spans="20:48">
      <c r="T2584" s="79"/>
      <c r="U2584" s="79"/>
      <c r="AT2584" t="s">
        <v>1823</v>
      </c>
      <c r="AU2584" s="93">
        <v>2567</v>
      </c>
      <c r="AV2584" t="s">
        <v>158</v>
      </c>
    </row>
    <row r="2585" spans="20:48">
      <c r="T2585" s="79"/>
      <c r="U2585" s="79"/>
      <c r="AT2585" t="s">
        <v>1824</v>
      </c>
      <c r="AU2585" s="93">
        <v>2568</v>
      </c>
      <c r="AV2585" t="s">
        <v>158</v>
      </c>
    </row>
    <row r="2586" spans="20:48">
      <c r="T2586" s="79"/>
      <c r="U2586" s="79"/>
      <c r="AT2586" t="s">
        <v>1825</v>
      </c>
      <c r="AU2586" s="93">
        <v>2569</v>
      </c>
      <c r="AV2586" t="s">
        <v>158</v>
      </c>
    </row>
    <row r="2587" spans="20:48">
      <c r="T2587" s="79"/>
      <c r="U2587" s="79"/>
      <c r="AT2587" t="s">
        <v>1826</v>
      </c>
      <c r="AU2587" s="93">
        <v>2570</v>
      </c>
      <c r="AV2587" t="s">
        <v>117</v>
      </c>
    </row>
    <row r="2588" spans="20:48">
      <c r="T2588" s="79"/>
      <c r="U2588" s="79"/>
      <c r="AT2588" t="s">
        <v>1827</v>
      </c>
      <c r="AU2588" s="93">
        <v>2571</v>
      </c>
      <c r="AV2588" t="s">
        <v>140</v>
      </c>
    </row>
    <row r="2589" spans="20:48">
      <c r="T2589" s="79"/>
      <c r="U2589" s="79"/>
      <c r="AT2589" t="s">
        <v>1828</v>
      </c>
      <c r="AU2589" s="93">
        <v>2572</v>
      </c>
      <c r="AV2589" t="s">
        <v>121</v>
      </c>
    </row>
    <row r="2590" spans="20:48">
      <c r="T2590" s="79"/>
      <c r="U2590" s="79"/>
      <c r="AT2590" t="s">
        <v>1829</v>
      </c>
      <c r="AU2590" s="93">
        <v>2573</v>
      </c>
      <c r="AV2590" t="s">
        <v>111</v>
      </c>
    </row>
    <row r="2591" spans="20:48">
      <c r="T2591" s="79"/>
      <c r="U2591" s="79"/>
      <c r="AT2591" t="s">
        <v>1830</v>
      </c>
      <c r="AU2591" s="93">
        <v>2574</v>
      </c>
      <c r="AV2591" t="s">
        <v>144</v>
      </c>
    </row>
    <row r="2592" spans="20:48">
      <c r="T2592" s="79"/>
      <c r="U2592" s="79"/>
      <c r="AT2592" t="s">
        <v>1831</v>
      </c>
      <c r="AU2592" s="93">
        <v>2575</v>
      </c>
      <c r="AV2592" t="s">
        <v>158</v>
      </c>
    </row>
    <row r="2593" spans="20:48">
      <c r="T2593" s="79"/>
      <c r="U2593" s="79"/>
      <c r="AT2593" t="s">
        <v>1832</v>
      </c>
      <c r="AU2593" s="93">
        <v>2576</v>
      </c>
      <c r="AV2593" t="s">
        <v>123</v>
      </c>
    </row>
    <row r="2594" spans="20:48">
      <c r="T2594" s="79"/>
      <c r="U2594" s="79"/>
      <c r="AT2594" t="s">
        <v>1833</v>
      </c>
      <c r="AU2594" s="93">
        <v>2577</v>
      </c>
      <c r="AV2594" t="s">
        <v>140</v>
      </c>
    </row>
    <row r="2595" spans="20:48">
      <c r="T2595" s="79"/>
      <c r="U2595" s="79"/>
      <c r="AT2595" t="s">
        <v>1834</v>
      </c>
      <c r="AU2595" s="93">
        <v>2578</v>
      </c>
      <c r="AV2595" t="s">
        <v>140</v>
      </c>
    </row>
    <row r="2596" spans="20:48">
      <c r="T2596" s="79"/>
      <c r="U2596" s="79"/>
      <c r="AT2596" t="s">
        <v>1835</v>
      </c>
      <c r="AU2596" s="93">
        <v>2579</v>
      </c>
      <c r="AV2596" t="s">
        <v>123</v>
      </c>
    </row>
    <row r="2597" spans="20:48">
      <c r="T2597" s="79"/>
      <c r="U2597" s="79"/>
      <c r="AT2597" t="s">
        <v>1836</v>
      </c>
      <c r="AU2597" s="93">
        <v>2580</v>
      </c>
      <c r="AV2597" t="s">
        <v>123</v>
      </c>
    </row>
    <row r="2598" spans="20:48">
      <c r="T2598" s="79"/>
      <c r="U2598" s="79"/>
      <c r="AT2598" t="s">
        <v>1837</v>
      </c>
      <c r="AU2598" s="93">
        <v>2581</v>
      </c>
      <c r="AV2598" t="s">
        <v>123</v>
      </c>
    </row>
    <row r="2599" spans="20:48">
      <c r="T2599" s="79"/>
      <c r="U2599" s="79"/>
      <c r="AT2599" t="s">
        <v>1838</v>
      </c>
      <c r="AU2599" s="93">
        <v>2582</v>
      </c>
      <c r="AV2599" t="s">
        <v>123</v>
      </c>
    </row>
    <row r="2600" spans="20:48">
      <c r="T2600" s="79"/>
      <c r="U2600" s="79"/>
      <c r="AT2600" t="s">
        <v>1839</v>
      </c>
      <c r="AU2600" s="93">
        <v>2583</v>
      </c>
      <c r="AV2600" t="s">
        <v>111</v>
      </c>
    </row>
    <row r="2601" spans="20:48">
      <c r="T2601" s="79"/>
      <c r="U2601" s="79"/>
      <c r="AT2601" t="s">
        <v>1840</v>
      </c>
      <c r="AU2601" s="93">
        <v>2584</v>
      </c>
      <c r="AV2601" t="s">
        <v>111</v>
      </c>
    </row>
    <row r="2602" spans="20:48">
      <c r="T2602" s="79"/>
      <c r="U2602" s="79"/>
      <c r="AT2602" t="s">
        <v>1841</v>
      </c>
      <c r="AU2602" s="93">
        <v>2585</v>
      </c>
      <c r="AV2602" t="s">
        <v>111</v>
      </c>
    </row>
    <row r="2603" spans="20:48">
      <c r="T2603" s="79"/>
      <c r="U2603" s="79"/>
      <c r="AT2603" t="s">
        <v>1842</v>
      </c>
      <c r="AU2603" s="93">
        <v>2586</v>
      </c>
      <c r="AV2603" t="s">
        <v>111</v>
      </c>
    </row>
    <row r="2604" spans="20:48">
      <c r="T2604" s="79"/>
      <c r="U2604" s="79"/>
      <c r="AT2604" t="s">
        <v>1843</v>
      </c>
      <c r="AU2604" s="93">
        <v>2587</v>
      </c>
      <c r="AV2604" t="s">
        <v>111</v>
      </c>
    </row>
    <row r="2605" spans="20:48">
      <c r="T2605" s="79"/>
      <c r="U2605" s="79"/>
      <c r="AT2605" t="s">
        <v>1844</v>
      </c>
      <c r="AU2605" s="93">
        <v>2588</v>
      </c>
      <c r="AV2605" t="s">
        <v>111</v>
      </c>
    </row>
    <row r="2606" spans="20:48">
      <c r="T2606" s="79"/>
      <c r="U2606" s="79"/>
      <c r="AT2606" t="s">
        <v>1845</v>
      </c>
      <c r="AU2606" s="93">
        <v>2589</v>
      </c>
      <c r="AV2606" t="s">
        <v>158</v>
      </c>
    </row>
    <row r="2607" spans="20:48">
      <c r="T2607" s="79"/>
      <c r="U2607" s="79"/>
      <c r="AT2607" t="s">
        <v>1846</v>
      </c>
      <c r="AU2607" s="93">
        <v>2590</v>
      </c>
      <c r="AV2607" t="s">
        <v>158</v>
      </c>
    </row>
    <row r="2608" spans="20:48">
      <c r="T2608" s="79"/>
      <c r="U2608" s="79"/>
      <c r="AT2608" t="s">
        <v>1847</v>
      </c>
      <c r="AU2608" s="93">
        <v>2591</v>
      </c>
      <c r="AV2608" t="s">
        <v>158</v>
      </c>
    </row>
    <row r="2609" spans="20:48">
      <c r="T2609" s="79"/>
      <c r="U2609" s="79"/>
      <c r="AT2609" t="s">
        <v>1848</v>
      </c>
      <c r="AU2609" s="93">
        <v>2592</v>
      </c>
      <c r="AV2609" t="s">
        <v>158</v>
      </c>
    </row>
    <row r="2610" spans="20:48">
      <c r="T2610" s="79"/>
      <c r="U2610" s="79"/>
      <c r="AT2610" t="s">
        <v>1849</v>
      </c>
      <c r="AU2610" s="93">
        <v>2593</v>
      </c>
      <c r="AV2610" t="s">
        <v>158</v>
      </c>
    </row>
    <row r="2611" spans="20:48">
      <c r="T2611" s="79"/>
      <c r="U2611" s="79"/>
      <c r="AT2611" t="s">
        <v>1850</v>
      </c>
      <c r="AU2611" s="93">
        <v>2594</v>
      </c>
      <c r="AV2611" t="s">
        <v>158</v>
      </c>
    </row>
    <row r="2612" spans="20:48">
      <c r="T2612" s="79"/>
      <c r="U2612" s="79"/>
      <c r="AT2612" t="s">
        <v>1851</v>
      </c>
      <c r="AU2612" s="93">
        <v>2595</v>
      </c>
      <c r="AV2612" t="s">
        <v>158</v>
      </c>
    </row>
    <row r="2613" spans="20:48">
      <c r="T2613" s="79"/>
      <c r="U2613" s="79"/>
      <c r="AT2613" t="s">
        <v>1852</v>
      </c>
      <c r="AU2613" s="93">
        <v>2596</v>
      </c>
      <c r="AV2613" t="s">
        <v>158</v>
      </c>
    </row>
    <row r="2614" spans="20:48">
      <c r="T2614" s="79"/>
      <c r="U2614" s="79"/>
      <c r="AT2614" t="s">
        <v>1853</v>
      </c>
      <c r="AU2614" s="93">
        <v>2597</v>
      </c>
      <c r="AV2614" t="s">
        <v>158</v>
      </c>
    </row>
    <row r="2615" spans="20:48">
      <c r="T2615" s="79"/>
      <c r="U2615" s="79"/>
      <c r="AT2615" t="s">
        <v>1854</v>
      </c>
      <c r="AU2615" s="93">
        <v>2598</v>
      </c>
      <c r="AV2615" t="s">
        <v>158</v>
      </c>
    </row>
    <row r="2616" spans="20:48">
      <c r="T2616" s="79"/>
      <c r="U2616" s="79"/>
      <c r="AT2616" t="s">
        <v>1855</v>
      </c>
      <c r="AU2616" s="93">
        <v>2599</v>
      </c>
      <c r="AV2616" t="s">
        <v>158</v>
      </c>
    </row>
    <row r="2617" spans="20:48">
      <c r="T2617" s="79"/>
      <c r="U2617" s="79"/>
      <c r="AT2617" t="s">
        <v>1856</v>
      </c>
      <c r="AU2617" s="93">
        <v>2600</v>
      </c>
      <c r="AV2617" t="s">
        <v>158</v>
      </c>
    </row>
    <row r="2618" spans="20:48">
      <c r="T2618" s="79"/>
      <c r="U2618" s="79"/>
      <c r="AT2618" t="s">
        <v>1857</v>
      </c>
      <c r="AU2618" s="93">
        <v>2601</v>
      </c>
      <c r="AV2618" t="s">
        <v>111</v>
      </c>
    </row>
    <row r="2619" spans="20:48">
      <c r="T2619" s="79"/>
      <c r="U2619" s="79"/>
      <c r="AT2619" t="s">
        <v>1858</v>
      </c>
      <c r="AU2619" s="93">
        <v>2602</v>
      </c>
      <c r="AV2619" t="s">
        <v>111</v>
      </c>
    </row>
    <row r="2620" spans="20:48">
      <c r="T2620" s="79"/>
      <c r="U2620" s="79"/>
      <c r="AT2620" t="s">
        <v>1859</v>
      </c>
      <c r="AU2620" s="93">
        <v>2603</v>
      </c>
      <c r="AV2620" t="s">
        <v>135</v>
      </c>
    </row>
    <row r="2621" spans="20:48">
      <c r="T2621" s="79"/>
      <c r="U2621" s="79"/>
      <c r="AT2621" t="s">
        <v>1860</v>
      </c>
      <c r="AU2621" s="93">
        <v>2604</v>
      </c>
      <c r="AV2621" t="s">
        <v>111</v>
      </c>
    </row>
    <row r="2622" spans="20:48">
      <c r="T2622" s="79"/>
      <c r="U2622" s="79"/>
      <c r="AT2622" t="s">
        <v>1861</v>
      </c>
      <c r="AU2622" s="93">
        <v>2605</v>
      </c>
      <c r="AV2622" t="s">
        <v>147</v>
      </c>
    </row>
    <row r="2623" spans="20:48">
      <c r="T2623" s="79"/>
      <c r="U2623" s="79"/>
      <c r="AT2623" t="s">
        <v>1862</v>
      </c>
      <c r="AU2623" s="93">
        <v>2606</v>
      </c>
      <c r="AV2623" t="s">
        <v>111</v>
      </c>
    </row>
    <row r="2624" spans="20:48">
      <c r="T2624" s="79"/>
      <c r="U2624" s="79"/>
      <c r="AT2624" t="s">
        <v>1863</v>
      </c>
      <c r="AU2624" s="93">
        <v>2607</v>
      </c>
      <c r="AV2624" t="s">
        <v>111</v>
      </c>
    </row>
    <row r="2625" spans="20:48">
      <c r="T2625" s="79"/>
      <c r="U2625" s="79"/>
      <c r="AT2625" t="s">
        <v>1864</v>
      </c>
      <c r="AU2625" s="93">
        <v>2608</v>
      </c>
      <c r="AV2625" t="s">
        <v>136</v>
      </c>
    </row>
    <row r="2626" spans="20:48">
      <c r="T2626" s="79"/>
      <c r="U2626" s="79"/>
      <c r="AT2626" t="s">
        <v>1865</v>
      </c>
      <c r="AU2626" s="93">
        <v>2609</v>
      </c>
      <c r="AV2626" t="s">
        <v>111</v>
      </c>
    </row>
    <row r="2627" spans="20:48">
      <c r="T2627" s="79"/>
      <c r="U2627" s="79"/>
      <c r="AT2627" t="s">
        <v>1866</v>
      </c>
      <c r="AU2627" s="93">
        <v>2610</v>
      </c>
      <c r="AV2627" t="s">
        <v>111</v>
      </c>
    </row>
    <row r="2628" spans="20:48">
      <c r="T2628" s="79"/>
      <c r="U2628" s="79"/>
      <c r="AT2628" t="s">
        <v>1867</v>
      </c>
      <c r="AU2628" s="93">
        <v>2611</v>
      </c>
      <c r="AV2628" t="s">
        <v>111</v>
      </c>
    </row>
    <row r="2629" spans="20:48">
      <c r="T2629" s="79"/>
      <c r="U2629" s="79"/>
      <c r="AT2629" t="s">
        <v>1868</v>
      </c>
      <c r="AU2629" s="93">
        <v>2612</v>
      </c>
      <c r="AV2629" t="s">
        <v>111</v>
      </c>
    </row>
    <row r="2630" spans="20:48">
      <c r="T2630" s="79"/>
      <c r="U2630" s="79"/>
      <c r="AT2630" t="s">
        <v>1869</v>
      </c>
      <c r="AU2630" s="93">
        <v>2613</v>
      </c>
      <c r="AV2630" t="s">
        <v>111</v>
      </c>
    </row>
    <row r="2631" spans="20:48">
      <c r="T2631" s="79"/>
      <c r="U2631" s="79"/>
      <c r="AT2631" t="s">
        <v>1870</v>
      </c>
      <c r="AU2631" s="93">
        <v>2614</v>
      </c>
      <c r="AV2631" t="s">
        <v>111</v>
      </c>
    </row>
    <row r="2632" spans="20:48">
      <c r="T2632" s="79"/>
      <c r="U2632" s="79"/>
      <c r="AT2632" t="s">
        <v>1871</v>
      </c>
      <c r="AU2632" s="93">
        <v>2615</v>
      </c>
      <c r="AV2632" t="s">
        <v>111</v>
      </c>
    </row>
    <row r="2633" spans="20:48">
      <c r="T2633" s="79"/>
      <c r="U2633" s="79"/>
      <c r="AT2633" t="s">
        <v>1872</v>
      </c>
      <c r="AU2633" s="93">
        <v>2616</v>
      </c>
      <c r="AV2633" t="s">
        <v>145</v>
      </c>
    </row>
    <row r="2634" spans="20:48">
      <c r="T2634" s="79"/>
      <c r="U2634" s="79"/>
      <c r="AT2634" t="s">
        <v>1873</v>
      </c>
      <c r="AU2634" s="93">
        <v>2617</v>
      </c>
      <c r="AV2634" t="s">
        <v>158</v>
      </c>
    </row>
    <row r="2635" spans="20:48">
      <c r="T2635" s="79"/>
      <c r="U2635" s="79"/>
      <c r="AT2635" t="s">
        <v>1874</v>
      </c>
      <c r="AU2635" s="93">
        <v>2618</v>
      </c>
      <c r="AV2635" t="s">
        <v>132</v>
      </c>
    </row>
    <row r="2636" spans="20:48">
      <c r="T2636" s="79"/>
      <c r="U2636" s="79"/>
      <c r="AT2636" t="s">
        <v>1875</v>
      </c>
      <c r="AU2636" s="93">
        <v>2619</v>
      </c>
      <c r="AV2636" t="s">
        <v>138</v>
      </c>
    </row>
    <row r="2637" spans="20:48">
      <c r="T2637" s="79"/>
      <c r="U2637" s="79"/>
      <c r="AT2637" t="s">
        <v>1876</v>
      </c>
      <c r="AU2637" s="93">
        <v>2620</v>
      </c>
      <c r="AV2637" t="s">
        <v>114</v>
      </c>
    </row>
    <row r="2638" spans="20:48">
      <c r="T2638" s="79"/>
      <c r="U2638" s="79"/>
      <c r="AT2638" t="s">
        <v>1877</v>
      </c>
      <c r="AU2638" s="93">
        <v>2621</v>
      </c>
      <c r="AV2638" t="s">
        <v>154</v>
      </c>
    </row>
    <row r="2639" spans="20:48">
      <c r="T2639" s="79"/>
      <c r="U2639" s="79"/>
      <c r="AT2639" t="s">
        <v>1878</v>
      </c>
      <c r="AU2639" s="93">
        <v>2622</v>
      </c>
      <c r="AV2639" t="s">
        <v>120</v>
      </c>
    </row>
    <row r="2640" spans="20:48">
      <c r="T2640" s="79"/>
      <c r="U2640" s="79"/>
      <c r="AT2640" t="s">
        <v>1879</v>
      </c>
      <c r="AU2640" s="93">
        <v>2623</v>
      </c>
      <c r="AV2640" t="s">
        <v>117</v>
      </c>
    </row>
    <row r="2641" spans="20:48">
      <c r="T2641" s="79"/>
      <c r="U2641" s="79"/>
      <c r="AT2641" t="s">
        <v>1880</v>
      </c>
      <c r="AU2641" s="93">
        <v>2624</v>
      </c>
      <c r="AV2641" t="s">
        <v>117</v>
      </c>
    </row>
    <row r="2642" spans="20:48">
      <c r="T2642" s="79"/>
      <c r="U2642" s="79"/>
      <c r="AT2642" t="s">
        <v>1881</v>
      </c>
      <c r="AU2642" s="93">
        <v>2625</v>
      </c>
      <c r="AV2642" t="s">
        <v>136</v>
      </c>
    </row>
    <row r="2643" spans="20:48">
      <c r="T2643" s="79"/>
      <c r="U2643" s="79"/>
      <c r="AT2643" t="s">
        <v>1882</v>
      </c>
      <c r="AU2643" s="93">
        <v>2626</v>
      </c>
      <c r="AV2643" t="s">
        <v>1302</v>
      </c>
    </row>
    <row r="2644" spans="20:48">
      <c r="T2644" s="79"/>
      <c r="U2644" s="79"/>
      <c r="AT2644" t="s">
        <v>1883</v>
      </c>
      <c r="AU2644" s="93">
        <v>2627</v>
      </c>
      <c r="AV2644" t="s">
        <v>115</v>
      </c>
    </row>
    <row r="2645" spans="20:48">
      <c r="T2645" s="79"/>
      <c r="U2645" s="79"/>
      <c r="AT2645" t="s">
        <v>1884</v>
      </c>
      <c r="AU2645" s="93">
        <v>2628</v>
      </c>
      <c r="AV2645" t="s">
        <v>117</v>
      </c>
    </row>
    <row r="2646" spans="20:48">
      <c r="T2646" s="79"/>
      <c r="U2646" s="79"/>
      <c r="AT2646" t="s">
        <v>1885</v>
      </c>
      <c r="AU2646" s="93">
        <v>2629</v>
      </c>
      <c r="AV2646" t="s">
        <v>115</v>
      </c>
    </row>
    <row r="2647" spans="20:48">
      <c r="T2647" s="79"/>
      <c r="U2647" s="79"/>
      <c r="AT2647" t="s">
        <v>1886</v>
      </c>
      <c r="AU2647" s="93">
        <v>2630</v>
      </c>
      <c r="AV2647" t="s">
        <v>147</v>
      </c>
    </row>
    <row r="2648" spans="20:48">
      <c r="T2648" s="79"/>
      <c r="U2648" s="79"/>
      <c r="AT2648" t="s">
        <v>1887</v>
      </c>
      <c r="AU2648" s="93">
        <v>2631</v>
      </c>
      <c r="AV2648" t="s">
        <v>139</v>
      </c>
    </row>
    <row r="2649" spans="20:48">
      <c r="T2649" s="79"/>
      <c r="U2649" s="79"/>
      <c r="AT2649" t="s">
        <v>1888</v>
      </c>
      <c r="AU2649" s="93">
        <v>2632</v>
      </c>
      <c r="AV2649" t="s">
        <v>115</v>
      </c>
    </row>
    <row r="2650" spans="20:48">
      <c r="T2650" s="79"/>
      <c r="U2650" s="79"/>
      <c r="AT2650" t="s">
        <v>1889</v>
      </c>
      <c r="AU2650" s="93">
        <v>2633</v>
      </c>
      <c r="AV2650" t="s">
        <v>115</v>
      </c>
    </row>
    <row r="2651" spans="20:48">
      <c r="T2651" s="79"/>
      <c r="U2651" s="79"/>
      <c r="AT2651" t="s">
        <v>1890</v>
      </c>
      <c r="AU2651" s="93">
        <v>2634</v>
      </c>
      <c r="AV2651" t="s">
        <v>136</v>
      </c>
    </row>
    <row r="2652" spans="20:48">
      <c r="T2652" s="79"/>
      <c r="U2652" s="79"/>
      <c r="AT2652" t="s">
        <v>1891</v>
      </c>
      <c r="AU2652" s="93">
        <v>2635</v>
      </c>
      <c r="AV2652" t="s">
        <v>136</v>
      </c>
    </row>
    <row r="2653" spans="20:48">
      <c r="T2653" s="79"/>
      <c r="U2653" s="79"/>
      <c r="AT2653" t="s">
        <v>1892</v>
      </c>
      <c r="AU2653" s="93">
        <v>2636</v>
      </c>
      <c r="AV2653" t="s">
        <v>136</v>
      </c>
    </row>
    <row r="2654" spans="20:48">
      <c r="T2654" s="79"/>
      <c r="U2654" s="79"/>
      <c r="AT2654" t="s">
        <v>1893</v>
      </c>
      <c r="AU2654" s="93">
        <v>2637</v>
      </c>
      <c r="AV2654" t="s">
        <v>123</v>
      </c>
    </row>
    <row r="2655" spans="20:48">
      <c r="T2655" s="79"/>
      <c r="U2655" s="79"/>
      <c r="AT2655" t="s">
        <v>1894</v>
      </c>
      <c r="AU2655" s="93">
        <v>2638</v>
      </c>
      <c r="AV2655" t="s">
        <v>147</v>
      </c>
    </row>
    <row r="2656" spans="20:48">
      <c r="T2656" s="79"/>
      <c r="U2656" s="79"/>
      <c r="AT2656" t="s">
        <v>1895</v>
      </c>
      <c r="AU2656" s="93">
        <v>2639</v>
      </c>
      <c r="AV2656" t="s">
        <v>157</v>
      </c>
    </row>
    <row r="2657" spans="20:48">
      <c r="T2657" s="79"/>
      <c r="U2657" s="79"/>
      <c r="AT2657" t="s">
        <v>1896</v>
      </c>
      <c r="AU2657" s="93">
        <v>2640</v>
      </c>
      <c r="AV2657" t="s">
        <v>147</v>
      </c>
    </row>
    <row r="2658" spans="20:48">
      <c r="T2658" s="79"/>
      <c r="U2658" s="79"/>
      <c r="AT2658" t="s">
        <v>1897</v>
      </c>
      <c r="AU2658" s="93">
        <v>2641</v>
      </c>
      <c r="AV2658" t="s">
        <v>147</v>
      </c>
    </row>
    <row r="2659" spans="20:48">
      <c r="T2659" s="79"/>
      <c r="U2659" s="79"/>
      <c r="AT2659" t="s">
        <v>1898</v>
      </c>
      <c r="AU2659" s="93">
        <v>2642</v>
      </c>
      <c r="AV2659" t="s">
        <v>115</v>
      </c>
    </row>
    <row r="2660" spans="20:48">
      <c r="T2660" s="79"/>
      <c r="U2660" s="79"/>
      <c r="AT2660" t="s">
        <v>1899</v>
      </c>
      <c r="AU2660" s="93">
        <v>2643</v>
      </c>
      <c r="AV2660" t="s">
        <v>115</v>
      </c>
    </row>
    <row r="2661" spans="20:48">
      <c r="T2661" s="79"/>
      <c r="U2661" s="79"/>
      <c r="AT2661" t="s">
        <v>1900</v>
      </c>
      <c r="AU2661" s="93">
        <v>2644</v>
      </c>
      <c r="AV2661" t="s">
        <v>115</v>
      </c>
    </row>
    <row r="2662" spans="20:48">
      <c r="T2662" s="79"/>
      <c r="U2662" s="79"/>
      <c r="AT2662" t="s">
        <v>1901</v>
      </c>
      <c r="AU2662" s="93">
        <v>2645</v>
      </c>
      <c r="AV2662" t="s">
        <v>115</v>
      </c>
    </row>
    <row r="2663" spans="20:48">
      <c r="T2663" s="79"/>
      <c r="U2663" s="79"/>
      <c r="AT2663" t="s">
        <v>1902</v>
      </c>
      <c r="AU2663" s="93">
        <v>2646</v>
      </c>
      <c r="AV2663" t="s">
        <v>115</v>
      </c>
    </row>
    <row r="2664" spans="20:48">
      <c r="T2664" s="79"/>
      <c r="U2664" s="79"/>
      <c r="AT2664" t="s">
        <v>1903</v>
      </c>
      <c r="AU2664" s="93">
        <v>2647</v>
      </c>
      <c r="AV2664" t="s">
        <v>115</v>
      </c>
    </row>
    <row r="2665" spans="20:48">
      <c r="T2665" s="79"/>
      <c r="U2665" s="79"/>
      <c r="AT2665" t="s">
        <v>1904</v>
      </c>
      <c r="AU2665" s="93">
        <v>2648</v>
      </c>
      <c r="AV2665" t="s">
        <v>141</v>
      </c>
    </row>
    <row r="2666" spans="20:48">
      <c r="T2666" s="79"/>
      <c r="U2666" s="79"/>
      <c r="AT2666" t="s">
        <v>1905</v>
      </c>
      <c r="AU2666" s="93">
        <v>2649</v>
      </c>
      <c r="AV2666" t="s">
        <v>129</v>
      </c>
    </row>
    <row r="2667" spans="20:48">
      <c r="T2667" s="79"/>
      <c r="U2667" s="79"/>
      <c r="AT2667" t="s">
        <v>1906</v>
      </c>
      <c r="AU2667" s="93">
        <v>2650</v>
      </c>
      <c r="AV2667" t="s">
        <v>1907</v>
      </c>
    </row>
    <row r="2668" spans="20:48">
      <c r="T2668" s="79"/>
      <c r="U2668" s="79"/>
      <c r="AT2668" t="s">
        <v>1908</v>
      </c>
      <c r="AU2668" s="93">
        <v>2651</v>
      </c>
      <c r="AV2668" t="s">
        <v>115</v>
      </c>
    </row>
    <row r="2669" spans="20:48">
      <c r="T2669" s="79"/>
      <c r="U2669" s="79"/>
      <c r="AT2669" t="s">
        <v>1909</v>
      </c>
      <c r="AU2669" s="93">
        <v>2652</v>
      </c>
      <c r="AV2669" t="s">
        <v>115</v>
      </c>
    </row>
    <row r="2670" spans="20:48">
      <c r="T2670" s="79"/>
      <c r="U2670" s="79"/>
      <c r="AT2670" t="s">
        <v>1910</v>
      </c>
      <c r="AU2670" s="93">
        <v>2653</v>
      </c>
      <c r="AV2670" t="s">
        <v>115</v>
      </c>
    </row>
    <row r="2671" spans="20:48">
      <c r="T2671" s="79"/>
      <c r="U2671" s="79"/>
      <c r="AT2671" t="s">
        <v>1911</v>
      </c>
      <c r="AU2671" s="93">
        <v>2654</v>
      </c>
      <c r="AV2671" t="s">
        <v>115</v>
      </c>
    </row>
    <row r="2672" spans="20:48">
      <c r="T2672" s="79"/>
      <c r="U2672" s="79"/>
      <c r="AT2672" t="s">
        <v>1912</v>
      </c>
      <c r="AU2672" s="93">
        <v>2655</v>
      </c>
      <c r="AV2672" t="s">
        <v>115</v>
      </c>
    </row>
    <row r="2673" spans="20:48">
      <c r="T2673" s="79"/>
      <c r="U2673" s="79"/>
      <c r="AT2673" t="s">
        <v>1913</v>
      </c>
      <c r="AU2673" s="93">
        <v>2656</v>
      </c>
      <c r="AV2673" t="s">
        <v>115</v>
      </c>
    </row>
    <row r="2674" spans="20:48">
      <c r="T2674" s="79"/>
      <c r="U2674" s="79"/>
      <c r="AT2674" t="s">
        <v>1914</v>
      </c>
      <c r="AU2674" s="93">
        <v>2657</v>
      </c>
      <c r="AV2674" t="s">
        <v>592</v>
      </c>
    </row>
    <row r="2675" spans="20:48">
      <c r="T2675" s="79"/>
      <c r="U2675" s="79"/>
      <c r="AT2675" t="s">
        <v>1915</v>
      </c>
      <c r="AU2675" s="93">
        <v>2658</v>
      </c>
      <c r="AV2675" t="s">
        <v>592</v>
      </c>
    </row>
    <row r="2676" spans="20:48">
      <c r="T2676" s="79"/>
      <c r="U2676" s="79"/>
      <c r="AT2676" t="s">
        <v>1916</v>
      </c>
      <c r="AU2676" s="93">
        <v>2659</v>
      </c>
      <c r="AV2676" t="s">
        <v>592</v>
      </c>
    </row>
    <row r="2677" spans="20:48">
      <c r="T2677" s="79"/>
      <c r="U2677" s="79"/>
      <c r="AT2677" t="s">
        <v>1917</v>
      </c>
      <c r="AU2677" s="93">
        <v>2660</v>
      </c>
      <c r="AV2677" t="s">
        <v>592</v>
      </c>
    </row>
    <row r="2678" spans="20:48">
      <c r="T2678" s="79"/>
      <c r="U2678" s="79"/>
      <c r="AT2678" t="s">
        <v>1918</v>
      </c>
      <c r="AU2678" s="93">
        <v>2661</v>
      </c>
      <c r="AV2678" t="s">
        <v>592</v>
      </c>
    </row>
    <row r="2679" spans="20:48">
      <c r="T2679" s="79"/>
      <c r="U2679" s="79"/>
      <c r="AT2679" t="s">
        <v>1919</v>
      </c>
      <c r="AU2679" s="93">
        <v>2662</v>
      </c>
      <c r="AV2679" t="s">
        <v>592</v>
      </c>
    </row>
    <row r="2680" spans="20:48">
      <c r="T2680" s="79"/>
      <c r="U2680" s="79"/>
      <c r="AT2680" t="s">
        <v>1920</v>
      </c>
      <c r="AU2680" s="93">
        <v>2663</v>
      </c>
      <c r="AV2680" t="s">
        <v>592</v>
      </c>
    </row>
    <row r="2681" spans="20:48">
      <c r="T2681" s="79"/>
      <c r="U2681" s="79"/>
      <c r="AT2681" t="s">
        <v>1921</v>
      </c>
      <c r="AU2681" s="93">
        <v>2664</v>
      </c>
      <c r="AV2681" t="s">
        <v>592</v>
      </c>
    </row>
    <row r="2682" spans="20:48">
      <c r="T2682" s="79"/>
      <c r="U2682" s="79"/>
      <c r="AT2682" t="s">
        <v>1922</v>
      </c>
      <c r="AU2682" s="93">
        <v>2665</v>
      </c>
      <c r="AV2682" t="s">
        <v>1923</v>
      </c>
    </row>
    <row r="2683" spans="20:48">
      <c r="T2683" s="79"/>
      <c r="U2683" s="79"/>
      <c r="AT2683" t="s">
        <v>1924</v>
      </c>
      <c r="AU2683" s="93">
        <v>2666</v>
      </c>
      <c r="AV2683" t="s">
        <v>129</v>
      </c>
    </row>
    <row r="2684" spans="20:48">
      <c r="T2684" s="79"/>
      <c r="U2684" s="79"/>
      <c r="AT2684" t="s">
        <v>1925</v>
      </c>
      <c r="AU2684" s="93">
        <v>2667</v>
      </c>
      <c r="AV2684" t="s">
        <v>150</v>
      </c>
    </row>
    <row r="2685" spans="20:48">
      <c r="T2685" s="79"/>
      <c r="U2685" s="79"/>
      <c r="AT2685" t="s">
        <v>1926</v>
      </c>
      <c r="AU2685" s="93">
        <v>2668</v>
      </c>
      <c r="AV2685" t="s">
        <v>147</v>
      </c>
    </row>
    <row r="2686" spans="20:48">
      <c r="T2686" s="79"/>
      <c r="U2686" s="79"/>
      <c r="AT2686" t="s">
        <v>1927</v>
      </c>
      <c r="AU2686" s="93">
        <v>2669</v>
      </c>
      <c r="AV2686" t="s">
        <v>115</v>
      </c>
    </row>
    <row r="2687" spans="20:48">
      <c r="T2687" s="79"/>
      <c r="U2687" s="79"/>
      <c r="AT2687" t="s">
        <v>1928</v>
      </c>
      <c r="AU2687" s="93">
        <v>2670</v>
      </c>
      <c r="AV2687" t="s">
        <v>115</v>
      </c>
    </row>
    <row r="2688" spans="20:48">
      <c r="T2688" s="79"/>
      <c r="U2688" s="79"/>
      <c r="AT2688" t="s">
        <v>1929</v>
      </c>
      <c r="AU2688" s="93">
        <v>2671</v>
      </c>
      <c r="AV2688" t="s">
        <v>139</v>
      </c>
    </row>
    <row r="2689" spans="20:48">
      <c r="T2689" s="79"/>
      <c r="U2689" s="79"/>
      <c r="AT2689" t="s">
        <v>1930</v>
      </c>
      <c r="AU2689" s="93">
        <v>2672</v>
      </c>
      <c r="AV2689" t="s">
        <v>147</v>
      </c>
    </row>
    <row r="2690" spans="20:48">
      <c r="T2690" s="79"/>
      <c r="U2690" s="79"/>
      <c r="AT2690" t="s">
        <v>1931</v>
      </c>
      <c r="AU2690" s="93">
        <v>2673</v>
      </c>
      <c r="AV2690" t="s">
        <v>897</v>
      </c>
    </row>
    <row r="2691" spans="20:48">
      <c r="T2691" s="79"/>
      <c r="U2691" s="79"/>
      <c r="AT2691" t="s">
        <v>1932</v>
      </c>
      <c r="AU2691" s="93">
        <v>2674</v>
      </c>
      <c r="AV2691" t="s">
        <v>120</v>
      </c>
    </row>
    <row r="2692" spans="20:48">
      <c r="T2692" s="79"/>
      <c r="U2692" s="79"/>
      <c r="AT2692" t="s">
        <v>1933</v>
      </c>
      <c r="AU2692" s="93">
        <v>2675</v>
      </c>
      <c r="AV2692" t="s">
        <v>120</v>
      </c>
    </row>
    <row r="2693" spans="20:48">
      <c r="T2693" s="79"/>
      <c r="U2693" s="79"/>
      <c r="AT2693" t="s">
        <v>1934</v>
      </c>
      <c r="AU2693" s="93">
        <v>2676</v>
      </c>
      <c r="AV2693" t="s">
        <v>135</v>
      </c>
    </row>
    <row r="2694" spans="20:48">
      <c r="T2694" s="79"/>
      <c r="U2694" s="79"/>
      <c r="AT2694" t="s">
        <v>1935</v>
      </c>
      <c r="AU2694" s="93">
        <v>2677</v>
      </c>
      <c r="AV2694" t="s">
        <v>154</v>
      </c>
    </row>
    <row r="2695" spans="20:48">
      <c r="T2695" s="79"/>
      <c r="U2695" s="79"/>
      <c r="AT2695" t="s">
        <v>1936</v>
      </c>
      <c r="AU2695" s="93">
        <v>2678</v>
      </c>
      <c r="AV2695" t="s">
        <v>130</v>
      </c>
    </row>
    <row r="2696" spans="20:48">
      <c r="T2696" s="79"/>
      <c r="U2696" s="79"/>
      <c r="AT2696" t="s">
        <v>1937</v>
      </c>
      <c r="AU2696" s="93">
        <v>2679</v>
      </c>
      <c r="AV2696" t="s">
        <v>144</v>
      </c>
    </row>
    <row r="2697" spans="20:48">
      <c r="T2697" s="79"/>
      <c r="U2697" s="79"/>
      <c r="AT2697" t="s">
        <v>1938</v>
      </c>
      <c r="AU2697" s="93">
        <v>2680</v>
      </c>
      <c r="AV2697" t="s">
        <v>1939</v>
      </c>
    </row>
    <row r="2698" spans="20:48">
      <c r="T2698" s="79"/>
      <c r="U2698" s="79"/>
      <c r="AT2698" t="s">
        <v>1940</v>
      </c>
      <c r="AU2698" s="93">
        <v>2681</v>
      </c>
      <c r="AV2698" t="s">
        <v>157</v>
      </c>
    </row>
    <row r="2699" spans="20:48">
      <c r="T2699" s="79"/>
      <c r="U2699" s="79"/>
      <c r="AT2699" t="s">
        <v>1941</v>
      </c>
      <c r="AU2699" s="93">
        <v>2682</v>
      </c>
      <c r="AV2699" t="s">
        <v>111</v>
      </c>
    </row>
    <row r="2700" spans="20:48">
      <c r="T2700" s="79"/>
      <c r="U2700" s="79"/>
      <c r="AT2700" t="s">
        <v>1942</v>
      </c>
      <c r="AU2700" s="93">
        <v>2683</v>
      </c>
      <c r="AV2700" t="s">
        <v>157</v>
      </c>
    </row>
    <row r="2701" spans="20:48">
      <c r="T2701" s="79"/>
      <c r="U2701" s="79"/>
      <c r="AT2701" t="s">
        <v>1943</v>
      </c>
      <c r="AU2701" s="93">
        <v>2684</v>
      </c>
      <c r="AV2701" t="s">
        <v>111</v>
      </c>
    </row>
    <row r="2702" spans="20:48">
      <c r="T2702" s="79"/>
      <c r="U2702" s="79"/>
      <c r="AT2702" t="s">
        <v>1944</v>
      </c>
      <c r="AU2702" s="93">
        <v>2685</v>
      </c>
      <c r="AV2702" t="s">
        <v>119</v>
      </c>
    </row>
    <row r="2703" spans="20:48">
      <c r="T2703" s="79"/>
      <c r="U2703" s="79"/>
      <c r="AT2703" t="s">
        <v>1945</v>
      </c>
      <c r="AU2703" s="93">
        <v>2686</v>
      </c>
      <c r="AV2703" t="s">
        <v>119</v>
      </c>
    </row>
    <row r="2704" spans="20:48">
      <c r="T2704" s="79"/>
      <c r="U2704" s="79"/>
      <c r="AT2704" t="s">
        <v>1946</v>
      </c>
      <c r="AU2704" s="93">
        <v>2687</v>
      </c>
      <c r="AV2704" t="s">
        <v>123</v>
      </c>
    </row>
    <row r="2705" spans="20:48">
      <c r="T2705" s="79"/>
      <c r="U2705" s="79"/>
      <c r="AT2705" t="s">
        <v>1947</v>
      </c>
      <c r="AU2705" s="93">
        <v>2688</v>
      </c>
      <c r="AV2705" t="s">
        <v>145</v>
      </c>
    </row>
    <row r="2706" spans="20:48">
      <c r="T2706" s="79"/>
      <c r="U2706" s="79"/>
      <c r="AT2706" t="s">
        <v>1948</v>
      </c>
      <c r="AU2706" s="93">
        <v>2689</v>
      </c>
      <c r="AV2706" t="s">
        <v>145</v>
      </c>
    </row>
    <row r="2707" spans="20:48">
      <c r="T2707" s="79"/>
      <c r="U2707" s="79"/>
      <c r="AT2707" t="s">
        <v>1949</v>
      </c>
      <c r="AU2707" s="93">
        <v>2690</v>
      </c>
      <c r="AV2707" t="s">
        <v>145</v>
      </c>
    </row>
    <row r="2708" spans="20:48">
      <c r="T2708" s="79"/>
      <c r="U2708" s="79"/>
      <c r="AT2708" t="s">
        <v>1950</v>
      </c>
      <c r="AU2708" s="93">
        <v>2691</v>
      </c>
      <c r="AV2708" t="s">
        <v>111</v>
      </c>
    </row>
    <row r="2709" spans="20:48">
      <c r="T2709" s="79"/>
      <c r="U2709" s="79"/>
      <c r="AT2709" t="s">
        <v>1951</v>
      </c>
      <c r="AU2709" s="93">
        <v>2692</v>
      </c>
      <c r="AV2709" t="s">
        <v>138</v>
      </c>
    </row>
    <row r="2710" spans="20:48">
      <c r="T2710" s="79"/>
      <c r="U2710" s="79"/>
      <c r="AT2710" t="s">
        <v>1952</v>
      </c>
      <c r="AU2710" s="93">
        <v>2693</v>
      </c>
      <c r="AV2710" t="s">
        <v>138</v>
      </c>
    </row>
    <row r="2711" spans="20:48">
      <c r="T2711" s="79"/>
      <c r="U2711" s="79"/>
      <c r="AT2711" t="s">
        <v>1953</v>
      </c>
      <c r="AU2711" s="93">
        <v>2694</v>
      </c>
      <c r="AV2711" t="s">
        <v>138</v>
      </c>
    </row>
    <row r="2712" spans="20:48">
      <c r="T2712" s="79"/>
      <c r="U2712" s="79"/>
      <c r="AT2712" t="s">
        <v>1954</v>
      </c>
      <c r="AU2712" s="93">
        <v>2695</v>
      </c>
      <c r="AV2712" t="s">
        <v>138</v>
      </c>
    </row>
    <row r="2713" spans="20:48">
      <c r="T2713" s="79"/>
      <c r="U2713" s="79"/>
      <c r="AT2713" t="s">
        <v>1955</v>
      </c>
      <c r="AU2713" s="93">
        <v>2696</v>
      </c>
      <c r="AV2713" t="s">
        <v>138</v>
      </c>
    </row>
    <row r="2714" spans="20:48">
      <c r="T2714" s="79"/>
      <c r="U2714" s="79"/>
      <c r="AT2714" t="s">
        <v>1956</v>
      </c>
      <c r="AU2714" s="93">
        <v>2697</v>
      </c>
      <c r="AV2714" t="s">
        <v>145</v>
      </c>
    </row>
    <row r="2715" spans="20:48">
      <c r="T2715" s="79"/>
      <c r="U2715" s="79"/>
      <c r="AT2715" t="s">
        <v>1957</v>
      </c>
      <c r="AU2715" s="93">
        <v>2698</v>
      </c>
      <c r="AV2715" t="s">
        <v>145</v>
      </c>
    </row>
    <row r="2716" spans="20:48">
      <c r="T2716" s="79"/>
      <c r="U2716" s="79"/>
      <c r="AT2716" t="s">
        <v>1958</v>
      </c>
      <c r="AU2716" s="93">
        <v>2699</v>
      </c>
      <c r="AV2716" t="s">
        <v>145</v>
      </c>
    </row>
    <row r="2717" spans="20:48">
      <c r="T2717" s="79"/>
      <c r="U2717" s="79"/>
      <c r="AT2717" t="s">
        <v>1959</v>
      </c>
      <c r="AU2717" s="93">
        <v>2700</v>
      </c>
      <c r="AV2717" t="s">
        <v>123</v>
      </c>
    </row>
    <row r="2718" spans="20:48">
      <c r="T2718" s="79"/>
      <c r="U2718" s="79"/>
    </row>
    <row r="2719" spans="20:48">
      <c r="T2719" s="79"/>
      <c r="U2719" s="79"/>
    </row>
    <row r="2720" spans="20:48">
      <c r="T2720" s="79"/>
      <c r="U2720" s="79"/>
    </row>
    <row r="2721" spans="20:21">
      <c r="T2721" s="79"/>
      <c r="U2721" s="79"/>
    </row>
    <row r="2722" spans="20:21">
      <c r="T2722" s="79"/>
      <c r="U2722" s="79"/>
    </row>
    <row r="2723" spans="20:21">
      <c r="T2723" s="79"/>
      <c r="U2723" s="79"/>
    </row>
    <row r="2724" spans="20:21">
      <c r="T2724" s="79"/>
      <c r="U2724" s="79"/>
    </row>
    <row r="2725" spans="20:21">
      <c r="T2725" s="79"/>
      <c r="U2725" s="79"/>
    </row>
    <row r="2726" spans="20:21">
      <c r="T2726" s="79"/>
      <c r="U2726" s="79"/>
    </row>
    <row r="2727" spans="20:21">
      <c r="T2727" s="79"/>
      <c r="U2727" s="79"/>
    </row>
    <row r="2728" spans="20:21">
      <c r="T2728" s="79"/>
      <c r="U2728" s="79"/>
    </row>
    <row r="2729" spans="20:21">
      <c r="T2729" s="79"/>
      <c r="U2729" s="79"/>
    </row>
    <row r="2730" spans="20:21">
      <c r="T2730" s="79"/>
      <c r="U2730" s="79"/>
    </row>
    <row r="2731" spans="20:21">
      <c r="T2731" s="79"/>
      <c r="U2731" s="79"/>
    </row>
    <row r="2732" spans="20:21">
      <c r="T2732" s="79"/>
      <c r="U2732" s="79"/>
    </row>
    <row r="2733" spans="20:21">
      <c r="T2733" s="79"/>
      <c r="U2733" s="79"/>
    </row>
    <row r="2734" spans="20:21">
      <c r="T2734" s="79"/>
      <c r="U2734" s="79"/>
    </row>
    <row r="2735" spans="20:21">
      <c r="T2735" s="79"/>
      <c r="U2735" s="79"/>
    </row>
    <row r="2736" spans="20:21">
      <c r="T2736" s="79"/>
      <c r="U2736" s="79"/>
    </row>
    <row r="2737" spans="20:21">
      <c r="T2737" s="79"/>
      <c r="U2737" s="79"/>
    </row>
    <row r="2738" spans="20:21">
      <c r="T2738" s="79"/>
      <c r="U2738" s="79"/>
    </row>
    <row r="2739" spans="20:21">
      <c r="T2739" s="79"/>
      <c r="U2739" s="79"/>
    </row>
    <row r="2740" spans="20:21">
      <c r="T2740" s="79"/>
      <c r="U2740" s="79"/>
    </row>
    <row r="2741" spans="20:21">
      <c r="T2741" s="79"/>
      <c r="U2741" s="79"/>
    </row>
    <row r="2742" spans="20:21">
      <c r="T2742" s="79"/>
      <c r="U2742" s="79"/>
    </row>
    <row r="2743" spans="20:21">
      <c r="T2743" s="79"/>
      <c r="U2743" s="79"/>
    </row>
    <row r="2744" spans="20:21">
      <c r="T2744" s="79"/>
      <c r="U2744" s="79"/>
    </row>
    <row r="2745" spans="20:21">
      <c r="T2745" s="79"/>
      <c r="U2745" s="79"/>
    </row>
    <row r="2746" spans="20:21">
      <c r="T2746" s="79"/>
      <c r="U2746" s="79"/>
    </row>
    <row r="2747" spans="20:21">
      <c r="T2747" s="79"/>
      <c r="U2747" s="79"/>
    </row>
    <row r="2748" spans="20:21">
      <c r="T2748" s="79"/>
      <c r="U2748" s="79"/>
    </row>
    <row r="2749" spans="20:21">
      <c r="T2749" s="79"/>
      <c r="U2749" s="79"/>
    </row>
    <row r="2750" spans="20:21">
      <c r="T2750" s="79"/>
      <c r="U2750" s="79"/>
    </row>
    <row r="2751" spans="20:21">
      <c r="T2751" s="79"/>
      <c r="U2751" s="79"/>
    </row>
    <row r="2752" spans="20:21">
      <c r="T2752" s="79"/>
      <c r="U2752" s="79"/>
    </row>
    <row r="2753" spans="20:21">
      <c r="T2753" s="79"/>
      <c r="U2753" s="79"/>
    </row>
    <row r="2754" spans="20:21">
      <c r="T2754" s="79"/>
      <c r="U2754" s="79"/>
    </row>
    <row r="2755" spans="20:21">
      <c r="T2755" s="79"/>
      <c r="U2755" s="79"/>
    </row>
    <row r="2756" spans="20:21">
      <c r="T2756" s="79"/>
      <c r="U2756" s="79"/>
    </row>
    <row r="2757" spans="20:21">
      <c r="T2757" s="79"/>
      <c r="U2757" s="79"/>
    </row>
    <row r="2758" spans="20:21">
      <c r="T2758" s="79"/>
      <c r="U2758" s="79"/>
    </row>
    <row r="2759" spans="20:21">
      <c r="T2759" s="79"/>
      <c r="U2759" s="79"/>
    </row>
    <row r="2760" spans="20:21">
      <c r="T2760" s="79"/>
      <c r="U2760" s="79"/>
    </row>
    <row r="2761" spans="20:21">
      <c r="T2761" s="79"/>
      <c r="U2761" s="79"/>
    </row>
    <row r="2762" spans="20:21">
      <c r="T2762" s="79"/>
      <c r="U2762" s="79"/>
    </row>
    <row r="2763" spans="20:21">
      <c r="T2763" s="79"/>
      <c r="U2763" s="79"/>
    </row>
    <row r="2764" spans="20:21">
      <c r="T2764" s="79"/>
      <c r="U2764" s="79"/>
    </row>
    <row r="2765" spans="20:21">
      <c r="T2765" s="79"/>
      <c r="U2765" s="79"/>
    </row>
    <row r="2766" spans="20:21">
      <c r="T2766" s="79"/>
      <c r="U2766" s="79"/>
    </row>
    <row r="2767" spans="20:21">
      <c r="T2767" s="79"/>
      <c r="U2767" s="79"/>
    </row>
    <row r="2768" spans="20:21">
      <c r="T2768" s="79"/>
      <c r="U2768" s="79"/>
    </row>
    <row r="2769" spans="20:21">
      <c r="T2769" s="79"/>
      <c r="U2769" s="79"/>
    </row>
    <row r="2770" spans="20:21">
      <c r="T2770" s="79"/>
      <c r="U2770" s="79"/>
    </row>
    <row r="2771" spans="20:21">
      <c r="T2771" s="79"/>
      <c r="U2771" s="79"/>
    </row>
    <row r="2772" spans="20:21">
      <c r="T2772" s="79"/>
      <c r="U2772" s="79"/>
    </row>
    <row r="2773" spans="20:21">
      <c r="T2773" s="79"/>
      <c r="U2773" s="79"/>
    </row>
    <row r="2774" spans="20:21">
      <c r="T2774" s="79"/>
      <c r="U2774" s="79"/>
    </row>
    <row r="2775" spans="20:21">
      <c r="T2775" s="79"/>
      <c r="U2775" s="79"/>
    </row>
    <row r="2776" spans="20:21">
      <c r="T2776" s="79"/>
      <c r="U2776" s="79"/>
    </row>
    <row r="2777" spans="20:21">
      <c r="T2777" s="79"/>
      <c r="U2777" s="79"/>
    </row>
    <row r="2778" spans="20:21">
      <c r="T2778" s="79"/>
      <c r="U2778" s="79"/>
    </row>
    <row r="2779" spans="20:21">
      <c r="T2779" s="79"/>
      <c r="U2779" s="79"/>
    </row>
    <row r="2780" spans="20:21">
      <c r="T2780" s="79"/>
      <c r="U2780" s="79"/>
    </row>
    <row r="2781" spans="20:21">
      <c r="T2781" s="79"/>
      <c r="U2781" s="79"/>
    </row>
    <row r="2782" spans="20:21">
      <c r="T2782" s="79"/>
      <c r="U2782" s="79"/>
    </row>
    <row r="2783" spans="20:21">
      <c r="T2783" s="79"/>
      <c r="U2783" s="79"/>
    </row>
    <row r="2784" spans="20:21">
      <c r="T2784" s="79"/>
      <c r="U2784" s="79"/>
    </row>
    <row r="2785" spans="20:21">
      <c r="T2785" s="79"/>
      <c r="U2785" s="79"/>
    </row>
    <row r="2786" spans="20:21">
      <c r="T2786" s="79"/>
      <c r="U2786" s="79"/>
    </row>
    <row r="2787" spans="20:21">
      <c r="T2787" s="79"/>
      <c r="U2787" s="79"/>
    </row>
    <row r="2788" spans="20:21">
      <c r="T2788" s="79"/>
      <c r="U2788" s="79"/>
    </row>
    <row r="2789" spans="20:21">
      <c r="T2789" s="79"/>
      <c r="U2789" s="79"/>
    </row>
    <row r="2790" spans="20:21">
      <c r="T2790" s="79"/>
      <c r="U2790" s="79"/>
    </row>
    <row r="2791" spans="20:21">
      <c r="T2791" s="79"/>
      <c r="U2791" s="79"/>
    </row>
    <row r="2792" spans="20:21">
      <c r="T2792" s="79"/>
      <c r="U2792" s="79"/>
    </row>
    <row r="2793" spans="20:21">
      <c r="T2793" s="79"/>
      <c r="U2793" s="79"/>
    </row>
    <row r="2794" spans="20:21">
      <c r="T2794" s="79"/>
      <c r="U2794" s="79"/>
    </row>
    <row r="2795" spans="20:21">
      <c r="T2795" s="79"/>
      <c r="U2795" s="79"/>
    </row>
    <row r="2796" spans="20:21">
      <c r="T2796" s="79"/>
      <c r="U2796" s="79"/>
    </row>
    <row r="2797" spans="20:21">
      <c r="T2797" s="79"/>
      <c r="U2797" s="79"/>
    </row>
    <row r="2798" spans="20:21">
      <c r="T2798" s="79"/>
      <c r="U2798" s="79"/>
    </row>
    <row r="2799" spans="20:21">
      <c r="T2799" s="79"/>
      <c r="U2799" s="79"/>
    </row>
    <row r="2800" spans="20:21">
      <c r="T2800" s="79"/>
      <c r="U2800" s="79"/>
    </row>
    <row r="2801" spans="20:21">
      <c r="T2801" s="79"/>
      <c r="U2801" s="79"/>
    </row>
    <row r="2802" spans="20:21">
      <c r="T2802" s="79"/>
      <c r="U2802" s="79"/>
    </row>
    <row r="2803" spans="20:21">
      <c r="T2803" s="79"/>
      <c r="U2803" s="79"/>
    </row>
    <row r="2804" spans="20:21">
      <c r="T2804" s="79"/>
      <c r="U2804" s="79"/>
    </row>
    <row r="2805" spans="20:21">
      <c r="T2805" s="79"/>
      <c r="U2805" s="79"/>
    </row>
    <row r="2806" spans="20:21">
      <c r="T2806" s="79"/>
      <c r="U2806" s="79"/>
    </row>
    <row r="2807" spans="20:21">
      <c r="T2807" s="79"/>
      <c r="U2807" s="79"/>
    </row>
    <row r="2808" spans="20:21">
      <c r="T2808" s="79"/>
      <c r="U2808" s="79"/>
    </row>
    <row r="2809" spans="20:21">
      <c r="T2809" s="79"/>
      <c r="U2809" s="79"/>
    </row>
    <row r="2810" spans="20:21">
      <c r="T2810" s="79"/>
      <c r="U2810" s="79"/>
    </row>
    <row r="2811" spans="20:21">
      <c r="T2811" s="79"/>
      <c r="U2811" s="79"/>
    </row>
    <row r="2812" spans="20:21">
      <c r="T2812" s="79"/>
      <c r="U2812" s="79"/>
    </row>
    <row r="2813" spans="20:21">
      <c r="T2813" s="79"/>
      <c r="U2813" s="79"/>
    </row>
    <row r="2814" spans="20:21">
      <c r="T2814" s="79"/>
      <c r="U2814" s="79"/>
    </row>
    <row r="2815" spans="20:21">
      <c r="T2815" s="79"/>
      <c r="U2815" s="79"/>
    </row>
    <row r="2816" spans="20:21">
      <c r="T2816" s="79"/>
      <c r="U2816" s="79"/>
    </row>
    <row r="2817" spans="20:21">
      <c r="T2817" s="79"/>
      <c r="U2817" s="79"/>
    </row>
    <row r="2818" spans="20:21">
      <c r="T2818" s="79"/>
      <c r="U2818" s="79"/>
    </row>
    <row r="2819" spans="20:21">
      <c r="T2819" s="79"/>
      <c r="U2819" s="79"/>
    </row>
    <row r="2820" spans="20:21">
      <c r="T2820" s="79"/>
      <c r="U2820" s="79"/>
    </row>
    <row r="2821" spans="20:21">
      <c r="T2821" s="79"/>
      <c r="U2821" s="79"/>
    </row>
    <row r="2822" spans="20:21">
      <c r="T2822" s="79"/>
      <c r="U2822" s="79"/>
    </row>
    <row r="2823" spans="20:21">
      <c r="T2823" s="79"/>
      <c r="U2823" s="79"/>
    </row>
    <row r="2824" spans="20:21">
      <c r="T2824" s="79"/>
      <c r="U2824" s="79"/>
    </row>
    <row r="2825" spans="20:21">
      <c r="T2825" s="79"/>
      <c r="U2825" s="79"/>
    </row>
    <row r="2826" spans="20:21">
      <c r="T2826" s="79"/>
      <c r="U2826" s="79"/>
    </row>
    <row r="2827" spans="20:21">
      <c r="T2827" s="79"/>
      <c r="U2827" s="79"/>
    </row>
    <row r="2828" spans="20:21">
      <c r="T2828" s="79"/>
      <c r="U2828" s="79"/>
    </row>
    <row r="2829" spans="20:21">
      <c r="T2829" s="79"/>
      <c r="U2829" s="79"/>
    </row>
    <row r="2830" spans="20:21">
      <c r="T2830" s="79"/>
      <c r="U2830" s="79"/>
    </row>
    <row r="2831" spans="20:21">
      <c r="T2831" s="79"/>
      <c r="U2831" s="79"/>
    </row>
    <row r="2832" spans="20:21">
      <c r="T2832" s="79"/>
      <c r="U2832" s="79"/>
    </row>
    <row r="2833" spans="20:21">
      <c r="T2833" s="79"/>
      <c r="U2833" s="79"/>
    </row>
  </sheetData>
  <pageMargins left="0.7" right="0.7" top="0.75" bottom="0.75" header="0.3" footer="0.3"/>
  <pageSetup orientation="portrait" r:id="rId1"/>
  <customProperties>
    <customPr name="EpmWorksheetKeyString_GUID" r:id="rId2"/>
  </customProperties>
  <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"/>
  <sheetViews>
    <sheetView topLeftCell="A130" workbookViewId="0">
      <selection activeCell="B166" sqref="B166"/>
    </sheetView>
  </sheetViews>
  <sheetFormatPr defaultRowHeight="15"/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8C278EF-43D6-48C4-A33C-23FE8AF4BDF5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F3036789-D8DF-4946-BB6C-41BEFA86CE73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Charts</vt:lpstr>
      <vt:lpstr>Standings</vt:lpstr>
      <vt:lpstr>Rosters</vt:lpstr>
      <vt:lpstr>Tournament Averages</vt:lpstr>
      <vt:lpstr>Ryder Cup</vt:lpstr>
      <vt:lpstr>Schedule and Scoring</vt:lpstr>
      <vt:lpstr>LPGA Roster</vt:lpstr>
      <vt:lpstr>Transactions</vt:lpstr>
      <vt:lpstr>Draft</vt:lpstr>
      <vt:lpstr>Results</vt:lpstr>
      <vt:lpstr>Sheet1</vt:lpstr>
      <vt:lpstr>Chart1</vt:lpstr>
      <vt:lpstr>Results!BubbaWatson</vt:lpstr>
      <vt:lpstr>Results!leaderboard?tournamentId_2523</vt:lpstr>
      <vt:lpstr>Results!TIER1</vt:lpstr>
    </vt:vector>
  </TitlesOfParts>
  <Manager/>
  <Company>BoothUC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James Hiebert</dc:creator>
  <cp:keywords/>
  <dc:description/>
  <cp:lastModifiedBy>James Hiebert</cp:lastModifiedBy>
  <cp:revision/>
  <dcterms:created xsi:type="dcterms:W3CDTF">2016-01-04T16:18:38Z</dcterms:created>
  <dcterms:modified xsi:type="dcterms:W3CDTF">2025-12-07T04:23:25Z</dcterms:modified>
  <cp:category/>
  <cp:contentStatus/>
</cp:coreProperties>
</file>